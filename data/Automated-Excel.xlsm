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X261LC\Desktop\"/>
    </mc:Choice>
  </mc:AlternateContent>
  <xr:revisionPtr revIDLastSave="0" documentId="13_ncr:1_{B1D77177-2939-4F10-AEEE-B01C67A44FF7}" xr6:coauthVersionLast="47" xr6:coauthVersionMax="47" xr10:uidLastSave="{00000000-0000-0000-0000-000000000000}"/>
  <bookViews>
    <workbookView xWindow="-108" yWindow="-108" windowWidth="23256" windowHeight="12456" firstSheet="6" activeTab="8" xr2:uid="{00000000-000D-0000-FFFF-FFFF00000000}"/>
  </bookViews>
  <sheets>
    <sheet name="Page de couverture" sheetId="7" r:id="rId1"/>
    <sheet name="Avant propos" sheetId="8" r:id="rId2"/>
    <sheet name="Cadre de la mission" sheetId="10" r:id="rId3"/>
    <sheet name="Termes et définitions" sheetId="9" r:id="rId4"/>
    <sheet name="Présentation Organisme" sheetId="3" r:id="rId5"/>
    <sheet name="Champ d'audit" sheetId="6" r:id="rId6"/>
    <sheet name="Méthodologie d'audit" sheetId="5" r:id="rId7"/>
    <sheet name="Synthése des resultats de l'aud" sheetId="2" r:id="rId8"/>
    <sheet name="Appréciation de risques" sheetId="4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8" i="4" l="1"/>
  <c r="AA18" i="4"/>
  <c r="AF17" i="4"/>
  <c r="AA17" i="4"/>
  <c r="P821" i="2" l="1"/>
</calcChain>
</file>

<file path=xl/sharedStrings.xml><?xml version="1.0" encoding="utf-8"?>
<sst xmlns="http://schemas.openxmlformats.org/spreadsheetml/2006/main" count="815" uniqueCount="661">
  <si>
    <t>emna</t>
  </si>
  <si>
    <t>hhhhhhhhhhhhhhhhhhhhhhh</t>
  </si>
  <si>
    <t>heyyyyyyyyyyyyyyyyyyyyyyyyyyyyyyyyyyyyyyyyyyyyyyyyyyy</t>
  </si>
  <si>
    <t>hhhhhhhhhhhhhhhhhhhhhhhhhhhhhhhhhhhhhhdddddddddddddd</t>
  </si>
  <si>
    <t>hhhhhhhhhhhhhhhhhhhhhhhhhhh</t>
  </si>
  <si>
    <t>kkkkkkkkkkkkkkkkkk</t>
  </si>
  <si>
    <t>hhhhhhhhhhhh</t>
  </si>
  <si>
    <t>dddddddddddddddddddddddd</t>
  </si>
  <si>
    <t>ddddddddddddddddddddddddddd</t>
  </si>
  <si>
    <t>Haute</t>
  </si>
  <si>
    <t>eeeee</t>
  </si>
  <si>
    <t>responsable soc</t>
  </si>
  <si>
    <t>ggggggggggggggggggggggggggggggggggggggggggg</t>
  </si>
  <si>
    <t>Moyenne</t>
  </si>
  <si>
    <t>ammouna</t>
  </si>
  <si>
    <t>hhhhhhhhhhhhhhhhhhhhhhhhhhhhhhh</t>
  </si>
  <si>
    <t>Faible</t>
  </si>
  <si>
    <t>jjjjjjjjjjjjjjjj</t>
  </si>
  <si>
    <t>iiiiiiiiiiiiiiiiiiiii</t>
  </si>
  <si>
    <t>ssssss</t>
  </si>
  <si>
    <t>zzzzzzzzzzzzzzzzzzzzzzzzzzzzzzz</t>
  </si>
  <si>
    <t>ee</t>
  </si>
  <si>
    <t>y</t>
  </si>
  <si>
    <t>Non défini</t>
  </si>
  <si>
    <t>dd</t>
  </si>
  <si>
    <t>rrr</t>
  </si>
  <si>
    <t>eee</t>
  </si>
  <si>
    <t>eeeeeeee</t>
  </si>
  <si>
    <t xml:space="preserve">  </t>
  </si>
  <si>
    <t>hhhhhhhhh</t>
  </si>
  <si>
    <t>Mesures de sécurité organisationnelles (37)</t>
  </si>
  <si>
    <t>A 5.1</t>
  </si>
  <si>
    <t>Politiques de sécurité de l'information</t>
  </si>
  <si>
    <t>Gouvernance</t>
  </si>
  <si>
    <t>A 5.2</t>
  </si>
  <si>
    <t>Politiques spécifiques de sécurité de l’information</t>
  </si>
  <si>
    <t>A 6.1</t>
  </si>
  <si>
    <t>Sélection des candidats</t>
  </si>
  <si>
    <t>Sécurité des ressources humaines</t>
  </si>
  <si>
    <t>A 6.2</t>
  </si>
  <si>
    <t>Termes et conditions du contrat de travail</t>
  </si>
  <si>
    <t>A 6.3</t>
  </si>
  <si>
    <t>Sensibilisation, enseignement et formation en sécurité de l'information</t>
  </si>
  <si>
    <t>Pratique inexistante</t>
  </si>
  <si>
    <t>A 7.1</t>
  </si>
  <si>
    <t>A 5.3</t>
  </si>
  <si>
    <t>A 5.4</t>
  </si>
  <si>
    <t>A 5.5</t>
  </si>
  <si>
    <t>A 5.6</t>
  </si>
  <si>
    <t>A 5.7</t>
  </si>
  <si>
    <t>A 5.8</t>
  </si>
  <si>
    <t>A 5.9</t>
  </si>
  <si>
    <t>A 5.10</t>
  </si>
  <si>
    <t>A 5.11</t>
  </si>
  <si>
    <t>A 5.12</t>
  </si>
  <si>
    <t>A 5.13</t>
  </si>
  <si>
    <t>A 5.14</t>
  </si>
  <si>
    <t>A 5.15</t>
  </si>
  <si>
    <t>A 5.16</t>
  </si>
  <si>
    <t>A 5.17</t>
  </si>
  <si>
    <t>A 5.18</t>
  </si>
  <si>
    <t>A 5.19</t>
  </si>
  <si>
    <t>A 5.20</t>
  </si>
  <si>
    <t>A 5.21</t>
  </si>
  <si>
    <t>A 5.22</t>
  </si>
  <si>
    <t>A 5.23</t>
  </si>
  <si>
    <t>A 5.24</t>
  </si>
  <si>
    <t>A 5.25</t>
  </si>
  <si>
    <t>A 5.26</t>
  </si>
  <si>
    <t>A 5.27</t>
  </si>
  <si>
    <t>A 5.28</t>
  </si>
  <si>
    <t>A 5.29</t>
  </si>
  <si>
    <t>A 5.30</t>
  </si>
  <si>
    <t>A 5.31</t>
  </si>
  <si>
    <t>A 5.32</t>
  </si>
  <si>
    <t>A 5.33</t>
  </si>
  <si>
    <t>A 5.34</t>
  </si>
  <si>
    <t>A 5.35</t>
  </si>
  <si>
    <t>A 5.36</t>
  </si>
  <si>
    <t>A 5.37</t>
  </si>
  <si>
    <t>Fonctions et responsabilités liées à la sécurité de l'information</t>
  </si>
  <si>
    <t>Séparation des tâches</t>
  </si>
  <si>
    <t>Responsabilités de la direction</t>
  </si>
  <si>
    <t>Contacts avec les autorités</t>
  </si>
  <si>
    <t>Contacts avec des groupes d'intérêt spécifiques</t>
  </si>
  <si>
    <t>Renseignement sur les menaces</t>
  </si>
  <si>
    <t>Sécurité de l'information dans la gestion de projet</t>
  </si>
  <si>
    <t>Inventaire des informations et autres actifs associés</t>
  </si>
  <si>
    <t>Utilisation correcte des informations et autres actifs associés</t>
  </si>
  <si>
    <t>Restitution des actifs</t>
  </si>
  <si>
    <t>Classification des informations</t>
  </si>
  <si>
    <t>Marquage des informations</t>
  </si>
  <si>
    <t>Transfert des informations</t>
  </si>
  <si>
    <t>Contrôle d'accès</t>
  </si>
  <si>
    <t>Gestion des identités</t>
  </si>
  <si>
    <t>Informations d'authentification</t>
  </si>
  <si>
    <t>Droits d'accès</t>
  </si>
  <si>
    <t>Sécurité de l'information dans les relations avec les fournisseurs</t>
  </si>
  <si>
    <t>La sécurité de l'information dans les accords conclus avec les fournisseurs</t>
  </si>
  <si>
    <t>Gestion de la sécurité de l'information dans la chaîne d'approvisionnement des TIC</t>
  </si>
  <si>
    <t>Surveillance, révision et gestion des changements des services fournisseurs</t>
  </si>
  <si>
    <t>Sécurité de l'information dans l'utilisation de services en nuage</t>
  </si>
  <si>
    <t>Planification et préparation de la gestion des incidents de sécurité de l'information</t>
  </si>
  <si>
    <t>Évaluation des événements de sécurité de l'information et prise de décision</t>
  </si>
  <si>
    <t>Réponse aux incidents de sécurité de l'information</t>
  </si>
  <si>
    <t>Tirer des enseignements des incidents de sécurité de l'information</t>
  </si>
  <si>
    <t>Collecte de preuves</t>
  </si>
  <si>
    <t>Sécurité de l'information pendant une perturbation</t>
  </si>
  <si>
    <t>Préparation des TIC pour la continuité d'activité</t>
  </si>
  <si>
    <t>Exigences légales, statutaires, réglementaires et contractuelles</t>
  </si>
  <si>
    <t>Droits de propriété intellectuelle</t>
  </si>
  <si>
    <t>Protection des enregistrements</t>
  </si>
  <si>
    <t>Protection de la vie privée et des données à caractère personnel (DCP)</t>
  </si>
  <si>
    <t>Révision indépendante de la sécurité de l'information</t>
  </si>
  <si>
    <t>Conformité aux politiques, règles et normes de sécurité de l'information</t>
  </si>
  <si>
    <t>Gestion des menaces et des vulnérabilités</t>
  </si>
  <si>
    <t>Gestion des actifs</t>
  </si>
  <si>
    <t>Gestion des actifs et Protection des informations</t>
  </si>
  <si>
    <t>Protection des informations</t>
  </si>
  <si>
    <t>Gestion des identités et des accès</t>
  </si>
  <si>
    <t>Sécurité des relations fournisseurs</t>
  </si>
  <si>
    <t>Gestion des événements de sécurité de l'information</t>
  </si>
  <si>
    <t>Continuité</t>
  </si>
  <si>
    <t>Législation et conformité</t>
  </si>
  <si>
    <t>Législation et conformité, Gestion des actifs, Protection des informations</t>
  </si>
  <si>
    <t>Législation et conformité, Protection des informations</t>
  </si>
  <si>
    <t>Assurance de sécurité de l'information</t>
  </si>
  <si>
    <t>Mesures de sécurité applicables au personnel  (8)</t>
  </si>
  <si>
    <t>A 6.4</t>
  </si>
  <si>
    <t>A 6.5</t>
  </si>
  <si>
    <t>A 6.6</t>
  </si>
  <si>
    <t>A 6.7</t>
  </si>
  <si>
    <t>A 6.8</t>
  </si>
  <si>
    <t>Processus disciplinaire</t>
  </si>
  <si>
    <t>Responsabilités après la fin ou le changement d'un emploi</t>
  </si>
  <si>
    <t>Accords de confidentialité ou de non-divulgation</t>
  </si>
  <si>
    <t>Travail à distance</t>
  </si>
  <si>
    <t>Déclaration des événements de sécurité de l'information</t>
  </si>
  <si>
    <t>Sécurité des ressources humaines, Gestion des actifs</t>
  </si>
  <si>
    <t>Sécurité des ressources humaines, Protection des informations, Sécurité des relations fournisseurs</t>
  </si>
  <si>
    <t>Gestion des actifs, Sécurité système et réseau, Sécurité physique</t>
  </si>
  <si>
    <t>Mesures de sécurité physique  (14)</t>
  </si>
  <si>
    <t>A 7.2</t>
  </si>
  <si>
    <t>A 7.3</t>
  </si>
  <si>
    <t>A 7.4</t>
  </si>
  <si>
    <t>A 7.5</t>
  </si>
  <si>
    <t>A 7.6</t>
  </si>
  <si>
    <t>A 7.7</t>
  </si>
  <si>
    <t>A 7.8</t>
  </si>
  <si>
    <t>A 7.9</t>
  </si>
  <si>
    <t>A 7.10</t>
  </si>
  <si>
    <t>A 7.11</t>
  </si>
  <si>
    <t>A 7.12</t>
  </si>
  <si>
    <t>A 7.13</t>
  </si>
  <si>
    <t>A 7.14</t>
  </si>
  <si>
    <t>Périmètres de sécurité physique</t>
  </si>
  <si>
    <t>Les entrées physiques</t>
  </si>
  <si>
    <t>Sécurisation des bureaux, des salles et des installations</t>
  </si>
  <si>
    <t>Surveillance de la sécurité physique</t>
  </si>
  <si>
    <t>Protection contre les menaces physiques et environnementales</t>
  </si>
  <si>
    <t>Travail dans les zones sécurisées</t>
  </si>
  <si>
    <t>Bureau propre et écran vide</t>
  </si>
  <si>
    <t>Emplacement et protection du matériel</t>
  </si>
  <si>
    <t>Sécurité des actifs hors des locaux</t>
  </si>
  <si>
    <t>Supports de stockage</t>
  </si>
  <si>
    <t>Services supports</t>
  </si>
  <si>
    <t>Sécurité du câblage</t>
  </si>
  <si>
    <t>Maintenance du matériel</t>
  </si>
  <si>
    <t>Élimination ou recyclage sécurisé(e) du matériel</t>
  </si>
  <si>
    <t>Sécurité physique</t>
  </si>
  <si>
    <t>Sécurité physique, Gestion des actifs</t>
  </si>
  <si>
    <t>Mesures de sécurité technologiques  (34 )</t>
  </si>
  <si>
    <t>A 8.1</t>
  </si>
  <si>
    <t>A 8.2</t>
  </si>
  <si>
    <t>A 8.3</t>
  </si>
  <si>
    <t>A 8.4</t>
  </si>
  <si>
    <t>A 8.5</t>
  </si>
  <si>
    <t>A 8.6</t>
  </si>
  <si>
    <t>A 8.7</t>
  </si>
  <si>
    <t>A 8.8</t>
  </si>
  <si>
    <t>A 8.9</t>
  </si>
  <si>
    <t>A 8.10</t>
  </si>
  <si>
    <t>A 8.11</t>
  </si>
  <si>
    <t>A 8.12</t>
  </si>
  <si>
    <t>A 8.13</t>
  </si>
  <si>
    <t>A 8.14</t>
  </si>
  <si>
    <t>A 8.15</t>
  </si>
  <si>
    <t>A 8.16</t>
  </si>
  <si>
    <t>A 8.17</t>
  </si>
  <si>
    <t>A 8.18</t>
  </si>
  <si>
    <t>A 8.19</t>
  </si>
  <si>
    <t>A 8.20</t>
  </si>
  <si>
    <t>A 8.21</t>
  </si>
  <si>
    <t>A 8.22</t>
  </si>
  <si>
    <t>A 8.23</t>
  </si>
  <si>
    <t>A 8.24</t>
  </si>
  <si>
    <t>A 8.25</t>
  </si>
  <si>
    <t>A 8.26</t>
  </si>
  <si>
    <t>A 8.27</t>
  </si>
  <si>
    <t>A 8.28</t>
  </si>
  <si>
    <t>A 8.29</t>
  </si>
  <si>
    <t>A 8.30</t>
  </si>
  <si>
    <t>A 8.31</t>
  </si>
  <si>
    <t>A 8.32</t>
  </si>
  <si>
    <t>A 8.33</t>
  </si>
  <si>
    <t>A 8.34</t>
  </si>
  <si>
    <t>Terminaux finaux des utilisateurs</t>
  </si>
  <si>
    <t>Droits d'accès privilégiés</t>
  </si>
  <si>
    <t>Restriction d'accès aux informations</t>
  </si>
  <si>
    <t>Accès aux codes source</t>
  </si>
  <si>
    <t>Authentification sécurisée</t>
  </si>
  <si>
    <t>Dimensionnement</t>
  </si>
  <si>
    <t>Protection contre les programmes malveillants (malware)</t>
  </si>
  <si>
    <t>Gestion des vulnérabilités techniques</t>
  </si>
  <si>
    <t>Gestion des configurations</t>
  </si>
  <si>
    <t>Suppression des informations</t>
  </si>
  <si>
    <t>Masquage des données</t>
  </si>
  <si>
    <t>Prévention de la fuite de données</t>
  </si>
  <si>
    <t>Sauvegarde des informations</t>
  </si>
  <si>
    <t>Redondance des moyens de traitement de l'information</t>
  </si>
  <si>
    <t>Journalisation</t>
  </si>
  <si>
    <t>Activités de surveillance</t>
  </si>
  <si>
    <t>Synchronisation des horloges</t>
  </si>
  <si>
    <t>Utilisation de programmes utilitaires à privilèges</t>
  </si>
  <si>
    <t>Installation de logiciels sur des systèmes opérationnels</t>
  </si>
  <si>
    <t>Sécurité des réseaux</t>
  </si>
  <si>
    <t>Sécurité des services réseau</t>
  </si>
  <si>
    <t>Cloisonnement des réseaux</t>
  </si>
  <si>
    <t>Filtrage web</t>
  </si>
  <si>
    <t>Utilisation de la cryptographie</t>
  </si>
  <si>
    <t>Cycle de vie de développement sécurisé</t>
  </si>
  <si>
    <t>Exigences de sécurité des applications</t>
  </si>
  <si>
    <t>Principes d'ingénierie et d'architecture des systèmes sécurisés</t>
  </si>
  <si>
    <t>Codage sécurisé</t>
  </si>
  <si>
    <t>Tests de sécurité dans le développement et l'acceptation</t>
  </si>
  <si>
    <t>Développement externalisé</t>
  </si>
  <si>
    <t>Séparation des environnements de développement, de test et opérationnels</t>
  </si>
  <si>
    <t>Gestion des changements</t>
  </si>
  <si>
    <t>Informations de test</t>
  </si>
  <si>
    <t>Protection des systèmes d'information pendant les tests d'audit</t>
  </si>
  <si>
    <t>Gestion des actifs, Protection des informations</t>
  </si>
  <si>
    <t>Gestion des identités et des accès, Sécurité des applications</t>
  </si>
  <si>
    <t>Sécurité système et réseau</t>
  </si>
  <si>
    <t>Configuration sécurisée</t>
  </si>
  <si>
    <t>Continuité, Gestion des actifs</t>
  </si>
  <si>
    <t>Gestion des événements de sécurité de l'information, Configuration sécurisée</t>
  </si>
  <si>
    <t>Sécurité des applications, Sécurité système et réseau</t>
  </si>
  <si>
    <t>Sécurité des applications, Assurance de sécurité de l'information, Sécurité système et réseau</t>
  </si>
  <si>
    <t>Sécurité système et réseau, Sécurité des applications, Sécurité des relations fournisseurs</t>
  </si>
  <si>
    <t>Sécurité système et réseau, Protection des informations</t>
  </si>
  <si>
    <t>JJJJJJJJJJJJJJJJJJJJJJJJJJJJ</t>
  </si>
  <si>
    <t>GGGGGGGGGGGGGGGGGGGGGGGGGGGGG</t>
  </si>
  <si>
    <t>JJJJJJJJJJJ</t>
  </si>
  <si>
    <t>Organisation</t>
  </si>
  <si>
    <t>Nomination officielle RSSI</t>
  </si>
  <si>
    <t xml:space="preserve">Fiche de poste RSSI </t>
  </si>
  <si>
    <t>Rattachement RSSI</t>
  </si>
  <si>
    <t>Existence officielle Cellule Sécurité</t>
  </si>
  <si>
    <t>Existence officielle Comité Sécurité</t>
  </si>
  <si>
    <t>PSSI</t>
  </si>
  <si>
    <t>Existence formelle PSSI</t>
  </si>
  <si>
    <t>Portée</t>
  </si>
  <si>
    <t>Communication</t>
  </si>
  <si>
    <t>Maintien de la PSSI</t>
  </si>
  <si>
    <t>Gestion de la continuité d'activité</t>
  </si>
  <si>
    <t>Existence formelle PCA</t>
  </si>
  <si>
    <t>Existence formelle PRA</t>
  </si>
  <si>
    <t>Maintien du PCA</t>
  </si>
  <si>
    <t>Maintien du PRA</t>
  </si>
  <si>
    <t>Site Secours</t>
  </si>
  <si>
    <t>Inventaire complet</t>
  </si>
  <si>
    <t>Procédure formelle de classification</t>
  </si>
  <si>
    <t xml:space="preserve">Mise en place de la classification </t>
  </si>
  <si>
    <t>Gestion des risques SI Métier</t>
  </si>
  <si>
    <t>Existence formelle de la gestion des risques</t>
  </si>
  <si>
    <t>Couverture totale du Métier</t>
  </si>
  <si>
    <t>Réalisée une seule fois</t>
  </si>
  <si>
    <t>Fréquence Réalisation Périodique</t>
  </si>
  <si>
    <t>En cas de changement majeur</t>
  </si>
  <si>
    <t>Gestion des incidents</t>
  </si>
  <si>
    <t>Procédure formelle de gestion des incidents</t>
  </si>
  <si>
    <t>Existence d'une cellule de gestion des incidents</t>
  </si>
  <si>
    <t>Gestion des sauvegardes</t>
  </si>
  <si>
    <t>Politique formelle de sauvegarde</t>
  </si>
  <si>
    <t xml:space="preserve">Couverture des données métier </t>
  </si>
  <si>
    <t>Couverture des données de serveurs de support</t>
  </si>
  <si>
    <t>Couverture des running-config des équipements de sécurité &amp;réseau</t>
  </si>
  <si>
    <t>Couverture Clonage OS des serveurs</t>
  </si>
  <si>
    <t>Couverture des codes sources et des paramètres de configuration 
des applications et des logiciels de base</t>
  </si>
  <si>
    <t>Maintien de la solution de sauvegarde</t>
  </si>
  <si>
    <t xml:space="preserve">Tests de restauration périodiques </t>
  </si>
  <si>
    <t>Sécurité physique des copies de sauvegarde</t>
  </si>
  <si>
    <t>Existence des copies à un site distant</t>
  </si>
  <si>
    <t>Contrôle d’accès</t>
  </si>
  <si>
    <t>Politique formelle de contrôle d’accès</t>
  </si>
  <si>
    <t>TdB SSI</t>
  </si>
  <si>
    <t>Existence d'un Tableau de bord SSI</t>
  </si>
  <si>
    <t>Portée : indicateurs opérationnels</t>
  </si>
  <si>
    <t xml:space="preserve">Portée : indicateurs stratégiques </t>
  </si>
  <si>
    <t>Audit interne de la sécurité</t>
  </si>
  <si>
    <t>Existence de l'Audit interne de la sécurité</t>
  </si>
  <si>
    <t>Réalisation périodique de l'Audit interne</t>
  </si>
  <si>
    <t>Réalisation suite à un incident</t>
  </si>
  <si>
    <t>Réalisation suite à la mise en place d’un nouveau système</t>
  </si>
  <si>
    <t>Portée: uniquement aspects techniques</t>
  </si>
  <si>
    <t>Portée: aspects tech, org et phys</t>
  </si>
  <si>
    <t>Démarche de conformité</t>
  </si>
  <si>
    <t>Existence d'une démarche de conf</t>
  </si>
  <si>
    <t>Nature</t>
  </si>
  <si>
    <t>Etape</t>
  </si>
  <si>
    <t>Protection antivirale</t>
  </si>
  <si>
    <t>Existence d'une solution antivirale</t>
  </si>
  <si>
    <t>MAJ périodique de la Sol Antivirale</t>
  </si>
  <si>
    <t>Couverture des serveurs</t>
  </si>
  <si>
    <t xml:space="preserve">Couverture des PCs </t>
  </si>
  <si>
    <t>Dépl auto des patchs et correctifs Séc OS</t>
  </si>
  <si>
    <t>Existence Dép auto patchs&amp;cor Séc OS</t>
  </si>
  <si>
    <t xml:space="preserve">Couverture des serveurs </t>
  </si>
  <si>
    <t>Couverture des PCs</t>
  </si>
  <si>
    <t>Processus MAJ des firmwares Equips Réseau</t>
  </si>
  <si>
    <t>Existence</t>
  </si>
  <si>
    <t>Couverture</t>
  </si>
  <si>
    <t>Remplacement des produits dont la date EoL ou EoS expiré</t>
  </si>
  <si>
    <t xml:space="preserve">Remp OS Serveurs EoL EoS </t>
  </si>
  <si>
    <t>Remp OS PCs EoL EoS</t>
  </si>
  <si>
    <t>Remp Produits Sécurité EoL EoS</t>
  </si>
  <si>
    <t xml:space="preserve">Remp Produits Réseau EoL EoS </t>
  </si>
  <si>
    <t>Contrôle d'accès logique</t>
  </si>
  <si>
    <t>Utilisation Contrôleur de domaines</t>
  </si>
  <si>
    <t xml:space="preserve">Utilisation d'une Solution IAM </t>
  </si>
  <si>
    <t>Utilisation Proxy Accès Internet</t>
  </si>
  <si>
    <t>Matrice de Flux Réseau MFR formelle</t>
  </si>
  <si>
    <t>Implémentation règles de filtr -Equips frontaux- cf MFR</t>
  </si>
  <si>
    <t>mplémentation Filtrage inter_x0002_VLAN cf MFR</t>
  </si>
  <si>
    <t>Réseau d’administration</t>
  </si>
  <si>
    <t>Existence d'un réseau d'admin</t>
  </si>
  <si>
    <t>Isolé du réseau production et Internet</t>
  </si>
  <si>
    <t>Admin qu’à partir des machines de ce réseau</t>
  </si>
  <si>
    <t>Utilisation protocoles admin chiffrés</t>
  </si>
  <si>
    <t>Séparation des environnements</t>
  </si>
  <si>
    <t>Sép infras dév, test et exploitation</t>
  </si>
  <si>
    <t>Sécurité des partages</t>
  </si>
  <si>
    <t>Désactiv des partages rés sur les serveurs</t>
  </si>
  <si>
    <t>Désactiv des partages rés sur les PCs</t>
  </si>
  <si>
    <t>Utilisation des serveurs de fichier</t>
  </si>
  <si>
    <t>Système de détection/Prévention d’intrusion</t>
  </si>
  <si>
    <t>Déf politique de détection et de prévention d’intrusion</t>
  </si>
  <si>
    <t>Configuration par défaut des alertes</t>
  </si>
  <si>
    <t>Configuration cf à la politique des IDS/IPS</t>
  </si>
  <si>
    <t>Processus de suivi des alertes générées</t>
  </si>
  <si>
    <t>Solution SIEM</t>
  </si>
  <si>
    <t>Portée: Serveurs</t>
  </si>
  <si>
    <t>Portée: Equips Séc</t>
  </si>
  <si>
    <t>Portée: Equips Rés</t>
  </si>
  <si>
    <t>Contrats de maintenance</t>
  </si>
  <si>
    <t>Couverture des Serveurs</t>
  </si>
  <si>
    <t>Couverture des applications métier</t>
  </si>
  <si>
    <t>Couverture des SGBDs</t>
  </si>
  <si>
    <t>Couverture des équips sécurité</t>
  </si>
  <si>
    <t>Couverture des équips réseau</t>
  </si>
  <si>
    <t>Local Data-center</t>
  </si>
  <si>
    <t>Classification</t>
  </si>
  <si>
    <t>Zones d'emplacement</t>
  </si>
  <si>
    <t>Contrôle d’accès au Data-Center</t>
  </si>
  <si>
    <t>Secours électrique</t>
  </si>
  <si>
    <t>Couverture onduleurs Serveurs</t>
  </si>
  <si>
    <t>Couverture onduleurs Equips rés &amp; séc</t>
  </si>
  <si>
    <t>Couverture onduleurs PCs</t>
  </si>
  <si>
    <t xml:space="preserve">Existence Groupe électrogène </t>
  </si>
  <si>
    <t>Test régulier du groupe électrogène</t>
  </si>
  <si>
    <t>Sécurité de la climatisation DC</t>
  </si>
  <si>
    <t>Système de climatisation adéquate</t>
  </si>
  <si>
    <t>Redondance</t>
  </si>
  <si>
    <t>Contrat de maintenance</t>
  </si>
  <si>
    <t>Sécurité Câblage</t>
  </si>
  <si>
    <t>Chemins de câbles dédiés et séparés</t>
  </si>
  <si>
    <t xml:space="preserve">Etiquetage </t>
  </si>
  <si>
    <t>Plans de chemins de câblage</t>
  </si>
  <si>
    <t>Sécurité périmétrique DC</t>
  </si>
  <si>
    <t>Solution de détection d’intrusion</t>
  </si>
  <si>
    <t>Système de vidéo-surveillance</t>
  </si>
  <si>
    <t>Murs résistants aux intrusions physiques et aux incendies et 
dépourvus de fenêtres</t>
  </si>
  <si>
    <t>Sécurité Incendie DC</t>
  </si>
  <si>
    <t>Détecteurs de fumée</t>
  </si>
  <si>
    <t xml:space="preserve">Extincteurs automatiques </t>
  </si>
  <si>
    <t>Porte Data Center Coupe-feu</t>
  </si>
  <si>
    <t>Sécurité contre les dégâts des eaux</t>
  </si>
  <si>
    <t>Détecteurs d’humidité</t>
  </si>
  <si>
    <t>Système d’alerte</t>
  </si>
  <si>
    <t>Dispositif Anti-foudre</t>
  </si>
  <si>
    <t xml:space="preserve"> Dispositif Anti-foudre</t>
  </si>
  <si>
    <t>Organisation de crise en cas de 
sinistre</t>
  </si>
  <si>
    <t>Colonne1</t>
  </si>
  <si>
    <t>DG</t>
  </si>
  <si>
    <t>DSI</t>
  </si>
  <si>
    <t>Direction Administrative</t>
  </si>
  <si>
    <t>Direction Audit interne</t>
  </si>
  <si>
    <t>Direction Risques</t>
  </si>
  <si>
    <t>Partielle</t>
  </si>
  <si>
    <t xml:space="preserve">Totale </t>
  </si>
  <si>
    <t xml:space="preserve"> Absence</t>
  </si>
  <si>
    <t>Totale</t>
  </si>
  <si>
    <t>Couverture des données des PCs utilisateurs sensibles</t>
  </si>
  <si>
    <t xml:space="preserve">ISO 27001 </t>
  </si>
  <si>
    <t>PCI</t>
  </si>
  <si>
    <t>DSS</t>
  </si>
  <si>
    <t>Autre</t>
  </si>
  <si>
    <t>Certifié</t>
  </si>
  <si>
    <t>Projet en cours</t>
  </si>
  <si>
    <t>Planifié</t>
  </si>
  <si>
    <t>Absence</t>
  </si>
  <si>
    <t>Total</t>
  </si>
  <si>
    <t>Pariel</t>
  </si>
  <si>
    <t>3+</t>
  </si>
  <si>
    <t>Non classé</t>
  </si>
  <si>
    <t>Tier1</t>
  </si>
  <si>
    <t>Tier2</t>
  </si>
  <si>
    <t>Tier3</t>
  </si>
  <si>
    <t>Tier4</t>
  </si>
  <si>
    <t>Fort Risques</t>
  </si>
  <si>
    <t>Faibles Risques</t>
  </si>
  <si>
    <t>Biometrie</t>
  </si>
  <si>
    <t xml:space="preserve"> </t>
  </si>
  <si>
    <t>Identification, évaluation et traitement des risques métiers et techniques.</t>
  </si>
  <si>
    <t>Gestion des dossiers RH internes : recrutement, paie, formations, ….</t>
  </si>
  <si>
    <t>Assistance dans la déclaration et la conformité fiscale.</t>
  </si>
  <si>
    <t>Évaluation de la sécurité des systèmes d’information et mise en conformité.</t>
  </si>
  <si>
    <t>Suivi des approvisionnements, contrats fournisseurs et dépenses internes.</t>
  </si>
  <si>
    <t>rrrrrrrrrrrrrrrrr</t>
  </si>
  <si>
    <t>HHHHHHHHHHHHHHHHH</t>
  </si>
  <si>
    <t>Modéré, nécessite vigilance</t>
  </si>
  <si>
    <t>Important mais avec flexibilité</t>
  </si>
  <si>
    <t>1 – Faible</t>
  </si>
  <si>
    <t>2 – Moyen</t>
  </si>
  <si>
    <t>Les informations sont modérément sensibles. Une divulgation pourrait entraîner un désagrément ou un impact limité sur l’organisation. Accès contrôlé recommandé.</t>
  </si>
  <si>
    <t>3 – Fort</t>
  </si>
  <si>
    <t>Les données sont sensibles. Une fuite pourrait entraîner des impacts juridiques, financiers ou de réputation. Des contrôles d’accès renforcés sont nécessaires.</t>
  </si>
  <si>
    <t>4 – Très fort</t>
  </si>
  <si>
    <t>Informations hautement confidentielles (ex. : données RH, audits, sécurité). Une divulgation non autorisée aurait un impact majeur. Accès strictement limité et chiffré.</t>
  </si>
  <si>
    <t>Tolérance aux erreurs ou modifications. Une altération des données aurait peu de conséquences. Aucun mécanisme de vérification requis.</t>
  </si>
  <si>
    <t>Une certaine exactitude est nécessaire. Les erreurs doivent être identifiables et corrigibles. Mécanismes de validation de base.</t>
  </si>
  <si>
    <t>Les données doivent être précises. Une corruption ou altération peut causer des dysfonctionnements ou des erreurs de traitement. Mécanismes de contrôle robustes requis.</t>
  </si>
  <si>
    <t>L’exactitude des données est critique. Toute modification non autorisée est inacceptable. Contrôles d’intégrité cryptographiques et traçabilité sont indispensables.</t>
  </si>
  <si>
    <t>Une interruption de service est tolérable sans impact significatif. Aucun plan de continuité nécessaire.</t>
  </si>
  <si>
    <t>Une interruption brève est acceptable. Les services peuvent être rétablis manuellement ou avec un délai modéré.</t>
  </si>
  <si>
    <t>Disponibilité continue importante. Des interruptions affectent les opérations. Plans de reprise d’activité recommandés.</t>
  </si>
  <si>
    <t>Service critique. Toute indisponibilité a un impact immédiat et grave. Haute disponibilité et continuité d’activité obligatoire.</t>
  </si>
  <si>
    <t>Les informations ne sont pas sensibles. La divulgation non autorisée aurait peu ou pas d’impact. Aucun contrôle d’accès strict requis</t>
  </si>
  <si>
    <t>Processus 1 : Gestion des audits</t>
  </si>
  <si>
    <t>Processus 2 : Gestion des risques</t>
  </si>
  <si>
    <t>Processus 3 : Gestion des ressources humaines</t>
  </si>
  <si>
    <t>Processus 4 : Services fiscaux</t>
  </si>
  <si>
    <t>Processus 5 : Gestion des incidents de sécurité</t>
  </si>
  <si>
    <t>Processus 6 : Gestion des achats</t>
  </si>
  <si>
    <t>Critique et Prioritaire</t>
  </si>
  <si>
    <t>Domaine  1</t>
  </si>
  <si>
    <t>Domaine  2</t>
  </si>
  <si>
    <t>Domaine  3</t>
  </si>
  <si>
    <t>Domaine  4</t>
  </si>
  <si>
    <t>Domaine</t>
  </si>
  <si>
    <t>Nb Vulnérabilités</t>
  </si>
  <si>
    <t>Processus définis : Standardisation des pratiques</t>
  </si>
  <si>
    <t>Élevé</t>
  </si>
  <si>
    <t>dddddddddddddd</t>
  </si>
  <si>
    <t>Oui</t>
  </si>
  <si>
    <r>
      <rPr>
        <sz val="11"/>
        <color rgb="FFFF0000"/>
        <rFont val="Calibri"/>
        <family val="2"/>
        <scheme val="minor"/>
      </rPr>
      <t>NOTE</t>
    </r>
    <r>
      <rPr>
        <sz val="11"/>
        <color theme="1"/>
        <rFont val="Calibri"/>
        <family val="2"/>
        <scheme val="minor"/>
      </rPr>
      <t xml:space="preserve"> :les criteres d'echantiollonnage doivent etres confirmés et discutés entre l'organisme audité et l'auditeur</t>
    </r>
  </si>
  <si>
    <t>hhhhhh</t>
  </si>
  <si>
    <t xml:space="preserve">application  </t>
  </si>
  <si>
    <t>module 2</t>
  </si>
  <si>
    <t>aaaaaa</t>
  </si>
  <si>
    <t>aaa</t>
  </si>
  <si>
    <t>123.345.654;5</t>
  </si>
  <si>
    <t>zz</t>
  </si>
  <si>
    <t>zzz</t>
  </si>
  <si>
    <t>NON</t>
  </si>
  <si>
    <t>N/A</t>
  </si>
  <si>
    <t>eeee</t>
  </si>
  <si>
    <t>mv</t>
  </si>
  <si>
    <t>rrrr</t>
  </si>
  <si>
    <t>ANCS</t>
  </si>
  <si>
    <t>Autorité Nationale de Cybersécurité émettant le référentiel SSI officiel.</t>
  </si>
  <si>
    <t>Antivirus</t>
  </si>
  <si>
    <t>Logiciel de sécurité protégeant contre les logiciels malveillants.</t>
  </si>
  <si>
    <t>Application métier</t>
  </si>
  <si>
    <t>Logiciel spécialisé lié aux activités de l'organisme.</t>
  </si>
  <si>
    <t>Appréciation des risques</t>
  </si>
  <si>
    <t>Analyse de l'exposition aux menaces selon leur gravité et probabilité.</t>
  </si>
  <si>
    <t>Architecture réseau</t>
  </si>
  <si>
    <t>Organisation technique des équipements et connexions réseau.</t>
  </si>
  <si>
    <t>Arrêté ministériel</t>
  </si>
  <si>
    <t>Texte réglementaire fixant les critères et modalités d'audit.</t>
  </si>
  <si>
    <t>Audit de suivi</t>
  </si>
  <si>
    <t>Audit permettant de vérifier la mise en œuvre des recommandations précédentes.</t>
  </si>
  <si>
    <t>Audit exhaustif</t>
  </si>
  <si>
    <t>Audit complet couvrant tous les aspects du périmètre audité.</t>
  </si>
  <si>
    <t>Auditeur</t>
  </si>
  <si>
    <t>Personne qui réalise l'audit.</t>
  </si>
  <si>
    <t>Base de données</t>
  </si>
  <si>
    <t>Système de stockage et gestion de données structurées.</t>
  </si>
  <si>
    <t>Cartographie des processus</t>
  </si>
  <si>
    <t>Visualisation des étapes clés des activités internes.</t>
  </si>
  <si>
    <t>Catégorie</t>
  </si>
  <si>
    <t>Type administratif ou structurel de l'entité (ex. banque, ministère...).</t>
  </si>
  <si>
    <t>Certification ISO 27001</t>
  </si>
  <si>
    <t>Attestation de conformité d'un SMSI aux normes ISO 27001.</t>
  </si>
  <si>
    <t>Clients</t>
  </si>
  <si>
    <t>Bénéficiaires des services ou produits de l'organisme audité.</t>
  </si>
  <si>
    <t>Composants du SI</t>
  </si>
  <si>
    <t>Serveurs, applications, bases de données, équipements réseau, etc.</t>
  </si>
  <si>
    <t>Confidentialité</t>
  </si>
  <si>
    <t>Principe de non-divulgation des informations sensibles.</t>
  </si>
  <si>
    <t>Conformité</t>
  </si>
  <si>
    <t>Respect des normes, standards ou exigences définis.</t>
  </si>
  <si>
    <t>Contraintes</t>
  </si>
  <si>
    <t>Obstacles ou restrictions rencontrés pendant l'audit.</t>
  </si>
  <si>
    <t>Contrôleur de domaine</t>
  </si>
  <si>
    <t>Serveur gérant l'accès au réseau et aux ressources.</t>
  </si>
  <si>
    <t>Création</t>
  </si>
  <si>
    <t>Date de fondation de l'organisme audité.</t>
  </si>
  <si>
    <t>Critères d'échantillonnage</t>
  </si>
  <si>
    <t>Méthodes de sélection des structures ou composants à auditer.</t>
  </si>
  <si>
    <t>Critères techniques d'audit</t>
  </si>
  <si>
    <t>Référentiels techniques utilisés pour évaluer un système.</t>
  </si>
  <si>
    <t>Décret-loi 2023-17</t>
  </si>
  <si>
    <t>Cadre légal définissant les obligations en matière d'audit.</t>
  </si>
  <si>
    <t>Diffusion</t>
  </si>
  <si>
    <t>Transmission d'un document à des destinataires.</t>
  </si>
  <si>
    <t>Disponibilité</t>
  </si>
  <si>
    <t>Capacité d'accès aux données en temps voulu.</t>
  </si>
  <si>
    <t>Divulgation</t>
  </si>
  <si>
    <t>Action de révéler des informations confidentielles.</t>
  </si>
  <si>
    <t>Domaines de sécurité du SI</t>
  </si>
  <si>
    <t>Les aspects spécifiques de la sécurité évalués (organisationnels, humains, physiques, technologiques).</t>
  </si>
  <si>
    <t>Autorisations spéciales accordées à certains utilisateurs pour exécuter des tâches sensibles ou critiques.</t>
  </si>
  <si>
    <t>Échantillon</t>
  </si>
  <si>
    <t>Partie représentative utilisée à la place d'un ensemble complet.</t>
  </si>
  <si>
    <t>Échantillonnage</t>
  </si>
  <si>
    <t>Méthode d'analyse basée sur un sous-ensemble représentatif de données.</t>
  </si>
  <si>
    <t>Entrées physiques</t>
  </si>
  <si>
    <t>Points d'accès physiques à des zones protégées ou restreintes.</t>
  </si>
  <si>
    <t>Étendue géographique</t>
  </si>
  <si>
    <t>Zone géographique couverte par les activités de l'organisme.</t>
  </si>
  <si>
    <t>Exclusion</t>
  </si>
  <si>
    <t>Élément exclu volontairement du périmètre, avec justification.</t>
  </si>
  <si>
    <t>Firewall</t>
  </si>
  <si>
    <t>Dispositif filtrant les flux réseau entrants et sortants.</t>
  </si>
  <si>
    <t>Flux de données</t>
  </si>
  <si>
    <t>Déplacement des données au sein des processus de l'organisme.</t>
  </si>
  <si>
    <t>Fonctions et responsabilités</t>
  </si>
  <si>
    <t>Rôles assignés aux différents acteurs pour la gestion de la sécurité de l'information.</t>
  </si>
  <si>
    <t>Historique des modifications</t>
  </si>
  <si>
    <t>Liste des changements faits sur un document.</t>
  </si>
  <si>
    <t>Homologué</t>
  </si>
  <si>
    <t>Composant officiellement validé pour une utilisation dans le SI.</t>
  </si>
  <si>
    <t>IDS/IPS</t>
  </si>
  <si>
    <t>Systèmes de détection/prévention d'intrusions.</t>
  </si>
  <si>
    <t>Intégrité</t>
  </si>
  <si>
    <t>Exactitude et cohérence des données au fil du temps.</t>
  </si>
  <si>
    <t>LAN</t>
  </si>
  <si>
    <t>Local Area Network : réseau local interne à un site.</t>
  </si>
  <si>
    <t>Lieu d'implantation</t>
  </si>
  <si>
    <t>Emplacement physique d'une structure.</t>
  </si>
  <si>
    <t>Limites de l'audit</t>
  </si>
  <si>
    <t>Éléments réduisant la portée ou la précision de l'audit.</t>
  </si>
  <si>
    <t>Machine physique</t>
  </si>
  <si>
    <t>Serveur matériel réel hébergeant des services.</t>
  </si>
  <si>
    <t>Machine virtuelle</t>
  </si>
  <si>
    <t>Serveur simulé exécuté sur une infrastructure physique.</t>
  </si>
  <si>
    <t>Maturité des mesures de sécurité</t>
  </si>
  <si>
    <t>Niveau de développement et d'efficacité des contrôles de sécurité mis en place.</t>
  </si>
  <si>
    <t>Mesures liées aux personnes</t>
  </si>
  <si>
    <t>Pratiques encadrant la sélection, l'intégration et la sensibilisation des employés en matière de sécurité.</t>
  </si>
  <si>
    <t>Mesures organisationnelles</t>
  </si>
  <si>
    <t>Dispositifs et politiques définis pour structurer et encadrer la sécurité de l'information dans une organisation.</t>
  </si>
  <si>
    <t>Méthodologie d'audit</t>
  </si>
  <si>
    <t>Ensemble structuré de démarches et techniques utilisées pour auditer un système.</t>
  </si>
  <si>
    <t>Mission d'audit</t>
  </si>
  <si>
    <t>Examen structuré d'un processus ou système pour évaluer sa conformité.</t>
  </si>
  <si>
    <t>Missions</t>
  </si>
  <si>
    <t>Rôles ou objectifs principaux assignés à l'organisme.</t>
  </si>
  <si>
    <t>Nom_Organisme_Audité</t>
  </si>
  <si>
    <t>Champ à remplir pour identifier l'organisme audité.</t>
  </si>
  <si>
    <t>Nombre d'employés</t>
  </si>
  <si>
    <t>Effectif total de l'organisme audité.</t>
  </si>
  <si>
    <t>Nomenclature</t>
  </si>
  <si>
    <t>Convention de nommage utilisée pour normaliser les références.</t>
  </si>
  <si>
    <t>Non homologué</t>
  </si>
  <si>
    <t>Composant non approuvé, nécessitant validation ou exclusion.</t>
  </si>
  <si>
    <t>Organisme audité</t>
  </si>
  <si>
    <t>Entité faisant l'objet d'un audit.</t>
  </si>
  <si>
    <t>Parties prenantes</t>
  </si>
  <si>
    <t>Personnes ou groupes impactés par les décisions ou activités de l'organisme.</t>
  </si>
  <si>
    <t>PCA</t>
  </si>
  <si>
    <t>Plan de Continuité d'Activité permettant d'assurer la reprise des opérations critiques en cas de sinistre.</t>
  </si>
  <si>
    <t>Périmètre géographique</t>
  </si>
  <si>
    <t>Zone couverte par la mission d'audit.</t>
  </si>
  <si>
    <t>Zones délimitées pour contrôler l'accès physique aux ressources sensibles.</t>
  </si>
  <si>
    <t>Plan d'action</t>
  </si>
  <si>
    <t>Mesures prévues pour corriger les écarts identifiés dans l'audit.</t>
  </si>
  <si>
    <t>PRA</t>
  </si>
  <si>
    <t>Plan de Reprise d'Activité visant à restaurer les systèmes et services informatiques après un incident majeur.</t>
  </si>
  <si>
    <t>Processus critique</t>
  </si>
  <si>
    <t>Processus dont l'interruption a un impact significatif sur l'activité.</t>
  </si>
  <si>
    <t>Processus métier</t>
  </si>
  <si>
    <t>Activités critiques directement liées à la mission de l'organisme.</t>
  </si>
  <si>
    <t>Proxy</t>
  </si>
  <si>
    <t>Serveur agissant comme intermédiaire pour les connexions web.</t>
  </si>
  <si>
    <t>Politique de Sécurité des Systèmes d'Information définissant les orientations et exigences de sécurité de l'organisation.</t>
  </si>
  <si>
    <t>Recommandations</t>
  </si>
  <si>
    <t>Propositions d'actions pour corriger ou améliorer un système.</t>
  </si>
  <si>
    <t>Référentiel d'audit</t>
  </si>
  <si>
    <t>Document normatif de référence servant à mesurer la conformité et la sécurité du système.</t>
  </si>
  <si>
    <t>Reproduction</t>
  </si>
  <si>
    <t>Copie ou duplication d'un document ou contenu.</t>
  </si>
  <si>
    <t>Routeur</t>
  </si>
  <si>
    <t>Équipement dirigeant le trafic entre différents réseaux.</t>
  </si>
  <si>
    <t>RSSI</t>
  </si>
  <si>
    <t>Responsable de la Sécurité des Systèmes d'Information chargé de piloter la sécurité informatique de l'organisation.</t>
  </si>
  <si>
    <t>Savoir-faire</t>
  </si>
  <si>
    <t>Compétences techniques ou expériences d'une entité.</t>
  </si>
  <si>
    <t>Secteur d'activité</t>
  </si>
  <si>
    <t>Branche économique à laquelle appartient l'organisme.</t>
  </si>
  <si>
    <t>Segmentation</t>
  </si>
  <si>
    <t>Subdivision logique ou physique du réseau pour limiter les risques.</t>
  </si>
  <si>
    <t>Serveur</t>
  </si>
  <si>
    <t>Ordinateur (physique ou virtuel) fournissant des services informatiques.</t>
  </si>
  <si>
    <t>Services fournis</t>
  </si>
  <si>
    <t>Produits ou services proposés par l'organisme à ses clients.</t>
  </si>
  <si>
    <t>Standard</t>
  </si>
  <si>
    <t>Référence formelle utilisée comme base d'évaluation.</t>
  </si>
  <si>
    <t>Standard métier</t>
  </si>
  <si>
    <t>Norme spécifique à un secteur ou domaine professionnel.</t>
  </si>
  <si>
    <t>Statut</t>
  </si>
  <si>
    <t>Nature publique ou privée de l'organisme.</t>
  </si>
  <si>
    <t>Structure</t>
  </si>
  <si>
    <t>Unité ou site faisant partie du périmètre de l'audit.</t>
  </si>
  <si>
    <t>Switch</t>
  </si>
  <si>
    <t>Équipement réseau connectant plusieurs appareils localement.</t>
  </si>
  <si>
    <t>Système d'information</t>
  </si>
  <si>
    <t>Ensemble de ressources pour gérer l'information.</t>
  </si>
  <si>
    <t>Clauses contractuelles fixant les obligations des employés en matière de sécurité.</t>
  </si>
  <si>
    <t>Terminaux finaux</t>
  </si>
  <si>
    <t>Équipements utilisés par les utilisateurs finaux pour accéder aux ressources informatiques (ex. PC, laptop, smartphones).</t>
  </si>
  <si>
    <t>Type d'hébergement</t>
  </si>
  <si>
    <t>Méthode de déploiement : local, cloud privé, etc.</t>
  </si>
  <si>
    <t>WAN</t>
  </si>
  <si>
    <t>Wide Area Network : réseau étendu entre plusieurs sites.</t>
  </si>
  <si>
    <t xml:space="preserve">Non divulgation des informations confidentielles auprés des tierces parties </t>
  </si>
  <si>
    <t>Non reproduction des informations confidentielles sans accord</t>
  </si>
  <si>
    <t xml:space="preserve">Non utilisation des informations confidentielles à des fins personnelles ou comerciales </t>
  </si>
  <si>
    <t>La confidentialité de toutes les informations relatives à la production et au système d’information de l’organisme audité est déclarée</t>
  </si>
  <si>
    <t>fff</t>
  </si>
  <si>
    <t>ff</t>
  </si>
  <si>
    <t>hhh</t>
  </si>
  <si>
    <t>hhhhhhh</t>
  </si>
  <si>
    <t>Rapport d’Audit de la Sécurité du Système d’Information</t>
  </si>
  <si>
    <t>De</t>
  </si>
  <si>
    <t>Expert Auditeur chargé de la mission :</t>
  </si>
  <si>
    <t>Signature :</t>
  </si>
  <si>
    <t>Version du document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</si>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</sst>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8E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C000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61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theme="0" tint="-0.14999847407452621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10" fontId="0" fillId="0" borderId="0" xfId="0" applyNumberFormat="1"/>
    <xf numFmtId="0" fontId="0" fillId="0" borderId="0" xfId="0" applyAlignment="1">
      <alignment horizontal="center"/>
    </xf>
    <xf numFmtId="0" fontId="0" fillId="5" borderId="0" xfId="0" applyFill="1"/>
    <xf numFmtId="0" fontId="0" fillId="0" borderId="4" xfId="0" applyBorder="1"/>
    <xf numFmtId="0" fontId="0" fillId="7" borderId="0" xfId="0" applyFill="1"/>
    <xf numFmtId="0" fontId="0" fillId="8" borderId="0" xfId="0" applyFill="1"/>
    <xf numFmtId="0" fontId="1" fillId="9" borderId="0" xfId="0" applyFont="1" applyFill="1"/>
    <xf numFmtId="0" fontId="0" fillId="9" borderId="0" xfId="0" applyFill="1"/>
    <xf numFmtId="0" fontId="1" fillId="9" borderId="0" xfId="0" applyFont="1" applyFill="1" applyAlignment="1">
      <alignment wrapText="1"/>
    </xf>
    <xf numFmtId="0" fontId="0" fillId="10" borderId="0" xfId="0" applyFill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0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/>
    <xf numFmtId="0" fontId="0" fillId="7" borderId="1" xfId="0" applyFill="1" applyBorder="1"/>
    <xf numFmtId="0" fontId="2" fillId="7" borderId="8" xfId="0" applyFont="1" applyFill="1" applyBorder="1"/>
    <xf numFmtId="0" fontId="0" fillId="7" borderId="12" xfId="0" applyFill="1" applyBorder="1"/>
    <xf numFmtId="0" fontId="1" fillId="7" borderId="10" xfId="0" applyFont="1" applyFill="1" applyBorder="1"/>
    <xf numFmtId="0" fontId="1" fillId="7" borderId="10" xfId="0" applyFont="1" applyFill="1" applyBorder="1" applyAlignment="1">
      <alignment wrapText="1"/>
    </xf>
    <xf numFmtId="0" fontId="1" fillId="7" borderId="12" xfId="0" applyFont="1" applyFill="1" applyBorder="1"/>
    <xf numFmtId="0" fontId="1" fillId="7" borderId="8" xfId="0" applyFont="1" applyFill="1" applyBorder="1"/>
    <xf numFmtId="0" fontId="2" fillId="7" borderId="10" xfId="0" applyFont="1" applyFill="1" applyBorder="1"/>
    <xf numFmtId="0" fontId="1" fillId="7" borderId="12" xfId="0" applyFont="1" applyFill="1" applyBorder="1" applyAlignment="1">
      <alignment wrapText="1"/>
    </xf>
    <xf numFmtId="0" fontId="1" fillId="7" borderId="8" xfId="0" applyFont="1" applyFill="1" applyBorder="1" applyAlignment="1">
      <alignment wrapText="1"/>
    </xf>
    <xf numFmtId="0" fontId="0" fillId="8" borderId="8" xfId="0" applyFill="1" applyBorder="1"/>
    <xf numFmtId="0" fontId="0" fillId="8" borderId="7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11" xfId="0" applyFill="1" applyBorder="1"/>
    <xf numFmtId="0" fontId="1" fillId="8" borderId="10" xfId="0" applyFont="1" applyFill="1" applyBorder="1" applyAlignment="1">
      <alignment wrapText="1"/>
    </xf>
    <xf numFmtId="0" fontId="0" fillId="8" borderId="12" xfId="0" applyFill="1" applyBorder="1"/>
    <xf numFmtId="0" fontId="0" fillId="8" borderId="13" xfId="0" applyFill="1" applyBorder="1"/>
    <xf numFmtId="0" fontId="0" fillId="8" borderId="1" xfId="0" applyFill="1" applyBorder="1"/>
    <xf numFmtId="0" fontId="1" fillId="8" borderId="10" xfId="0" applyFont="1" applyFill="1" applyBorder="1"/>
    <xf numFmtId="0" fontId="2" fillId="8" borderId="12" xfId="0" applyFont="1" applyFill="1" applyBorder="1"/>
    <xf numFmtId="0" fontId="0" fillId="10" borderId="8" xfId="0" applyFill="1" applyBorder="1"/>
    <xf numFmtId="0" fontId="0" fillId="10" borderId="7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13" xfId="0" applyFill="1" applyBorder="1"/>
    <xf numFmtId="0" fontId="0" fillId="10" borderId="1" xfId="0" applyFill="1" applyBorder="1"/>
    <xf numFmtId="0" fontId="0" fillId="0" borderId="10" xfId="0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3" fillId="5" borderId="0" xfId="0" applyFont="1" applyFill="1" applyAlignment="1">
      <alignment horizontal="center"/>
    </xf>
    <xf numFmtId="0" fontId="0" fillId="5" borderId="0" xfId="0" applyFill="1" applyAlignment="1">
      <alignment vertical="top" wrapText="1"/>
    </xf>
    <xf numFmtId="0" fontId="0" fillId="5" borderId="0" xfId="0" applyFill="1" applyAlignment="1">
      <alignment vertical="center" wrapText="1"/>
    </xf>
    <xf numFmtId="0" fontId="5" fillId="5" borderId="0" xfId="0" applyFont="1" applyFill="1"/>
    <xf numFmtId="0" fontId="1" fillId="5" borderId="0" xfId="0" applyFont="1" applyFill="1"/>
    <xf numFmtId="0" fontId="4" fillId="5" borderId="0" xfId="1" applyFill="1" applyBorder="1"/>
    <xf numFmtId="0" fontId="3" fillId="5" borderId="0" xfId="0" applyFont="1" applyFill="1" applyAlignment="1">
      <alignment vertical="center" wrapText="1"/>
    </xf>
    <xf numFmtId="0" fontId="1" fillId="5" borderId="0" xfId="0" applyFont="1" applyFill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7" borderId="0" xfId="0" applyFill="1"/>
    <xf numFmtId="0" fontId="7" fillId="18" borderId="14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8" fillId="0" borderId="0" xfId="0" applyFont="1"/>
    <xf numFmtId="14" fontId="0" fillId="0" borderId="0" xfId="0" applyNumberFormat="1"/>
    <xf numFmtId="0" fontId="6" fillId="0" borderId="0" xfId="0" applyFont="1"/>
    <xf numFmtId="0" fontId="9" fillId="0" borderId="0" xfId="0" applyFont="1"/>
    <xf numFmtId="0" fontId="0" fillId="19" borderId="0" xfId="0" applyFill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0" fillId="16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15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5" borderId="0" xfId="0" applyFill="1"/>
    <xf numFmtId="0" fontId="0" fillId="7" borderId="8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0" xfId="0" applyFill="1" applyAlignment="1">
      <alignment horizontal="left"/>
    </xf>
    <xf numFmtId="0" fontId="0" fillId="7" borderId="11" xfId="0" applyFill="1" applyBorder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0" fillId="5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0" xfId="0" applyFill="1" applyAlignment="1">
      <alignment vertical="top" wrapText="1"/>
    </xf>
    <xf numFmtId="0" fontId="3" fillId="5" borderId="0" xfId="0" applyFont="1" applyFill="1" applyAlignment="1">
      <alignment horizontal="center"/>
    </xf>
    <xf numFmtId="0" fontId="0" fillId="5" borderId="0" xfId="0" applyFill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2">
    <cellStyle name="Lien hypertexte" xfId="1" builtinId="8"/>
    <cellStyle name="Normal" xfId="0" builtinId="0"/>
  </cellStyles>
  <dxfs count="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D6241"/>
      <color rgb="FFFFF8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Scroll" dx="26" fmlaLink="J819" horiz="1" max="2025" min="2000" page="10" val="2001"/>
</file>

<file path=xl/ctrlProps/ctrlProp7.xml><?xml version="1.0" encoding="utf-8"?>
<formControlPr xmlns="http://schemas.microsoft.com/office/spreadsheetml/2009/9/main" objectType="Scroll" dx="26" fmlaLink="N819" horiz="1" max="2025" min="2000" page="10" val="200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AX261LC\Pictures\Architecture.png" TargetMode="External"/><Relationship Id="rId2" Type="http://schemas.openxmlformats.org/officeDocument/2006/relationships/image" Target="file:///C:\Users\AX261LC\Pictures\grafana.jpg" TargetMode="External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X261LC\Downloads\architectur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91440</xdr:colOff>
      <xdr:row>7</xdr:row>
      <xdr:rowOff>15241</xdr:rowOff>
    </xdr:from>
    <xdr:to>
      <xdr:col>18</xdr:col>
      <xdr:colOff>32565</xdr:colOff>
      <xdr:row>11</xdr:row>
      <xdr:rowOff>167641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18D780F-DA85-13E1-DBFF-D3F1D62AF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33520" y="929641"/>
          <a:ext cx="1526085" cy="883920"/>
        </a:xfrm>
        <a:prstGeom prst="rect">
          <a:avLst/>
        </a:prstGeom>
      </xdr:spPr>
    </xdr:pic>
    <xdr:clientData/>
  </xdr:twoCellAnchor>
  <xdr:twoCellAnchor>
    <xdr:from>
      <xdr:col>0</xdr:col>
      <xdr:colOff>617220</xdr:colOff>
      <xdr:row>8</xdr:row>
      <xdr:rowOff>53340</xdr:rowOff>
    </xdr:from>
    <xdr:to>
      <xdr:col>3</xdr:col>
      <xdr:colOff>586740</xdr:colOff>
      <xdr:row>9</xdr:row>
      <xdr:rowOff>175260</xdr:rowOff>
    </xdr:to>
    <xdr:sp macro="[0]!Ajouter_Info_PageDeCouvertur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EB43784-0F86-5824-4221-2DC9EBE11584}"/>
            </a:ext>
          </a:extLst>
        </xdr:cNvPr>
        <xdr:cNvSpPr/>
      </xdr:nvSpPr>
      <xdr:spPr>
        <a:xfrm>
          <a:off x="617220" y="1516380"/>
          <a:ext cx="2346960" cy="30480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les informations</a:t>
          </a:r>
        </a:p>
      </xdr:txBody>
    </xdr:sp>
    <xdr:clientData/>
  </xdr:twoCellAnchor>
  <xdr:twoCellAnchor>
    <xdr:from>
      <xdr:col>0</xdr:col>
      <xdr:colOff>632460</xdr:colOff>
      <xdr:row>10</xdr:row>
      <xdr:rowOff>106680</xdr:rowOff>
    </xdr:from>
    <xdr:to>
      <xdr:col>3</xdr:col>
      <xdr:colOff>548640</xdr:colOff>
      <xdr:row>12</xdr:row>
      <xdr:rowOff>30480</xdr:rowOff>
    </xdr:to>
    <xdr:sp macro="[0]!Inserer_Logo_ExpertAuditeur_PageDeCouverture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6DE9DCA2-8617-46BB-BED0-09078450EE5C}"/>
            </a:ext>
          </a:extLst>
        </xdr:cNvPr>
        <xdr:cNvSpPr/>
      </xdr:nvSpPr>
      <xdr:spPr>
        <a:xfrm>
          <a:off x="632460" y="1935480"/>
          <a:ext cx="2293620" cy="2895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Inserer le logo de l'organisme audité</a:t>
          </a:r>
        </a:p>
      </xdr:txBody>
    </xdr:sp>
    <xdr:clientData/>
  </xdr:twoCellAnchor>
  <xdr:twoCellAnchor>
    <xdr:from>
      <xdr:col>0</xdr:col>
      <xdr:colOff>685800</xdr:colOff>
      <xdr:row>12</xdr:row>
      <xdr:rowOff>121920</xdr:rowOff>
    </xdr:from>
    <xdr:to>
      <xdr:col>3</xdr:col>
      <xdr:colOff>579120</xdr:colOff>
      <xdr:row>13</xdr:row>
      <xdr:rowOff>76200</xdr:rowOff>
    </xdr:to>
    <xdr:sp macro="[0]!Inserer_Cachet_ExpertAuditeur_PageDeCouverture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042BF8A-E89C-8DCC-AB18-EE021433A7AB}"/>
            </a:ext>
          </a:extLst>
        </xdr:cNvPr>
        <xdr:cNvSpPr/>
      </xdr:nvSpPr>
      <xdr:spPr>
        <a:xfrm>
          <a:off x="685800" y="2316480"/>
          <a:ext cx="2270760" cy="32004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/>
            <a:t>Insérer le cachet de l’expert auditeur</a:t>
          </a:r>
          <a:endParaRPr lang="fr-FR" sz="11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731520</xdr:colOff>
      <xdr:row>23</xdr:row>
      <xdr:rowOff>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99C71C9F-D279-4BBF-A9EC-F707C50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924800" y="3954780"/>
          <a:ext cx="731520" cy="731520"/>
        </a:xfrm>
        <a:prstGeom prst="rect">
          <a:avLst/>
        </a:prstGeom>
      </xdr:spPr>
    </xdr:pic>
    <xdr:clientData/>
  </xdr:twoCellAnchor>
  <xdr:twoCellAnchor editAs="oneCell">
    <xdr:from>
      <xdr:col>7</xdr:col>
      <xdr:colOff>1</xdr:colOff>
      <xdr:row>29</xdr:row>
      <xdr:rowOff>0</xdr:rowOff>
    </xdr:from>
    <xdr:to>
      <xdr:col>8</xdr:col>
      <xdr:colOff>273338</xdr:colOff>
      <xdr:row>33</xdr:row>
      <xdr:rowOff>0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E74984DA-D92E-8F22-C70F-75CF3FD3D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547361" y="5951220"/>
          <a:ext cx="1065817" cy="7315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6</xdr:row>
      <xdr:rowOff>15240</xdr:rowOff>
    </xdr:from>
    <xdr:to>
      <xdr:col>15</xdr:col>
      <xdr:colOff>175260</xdr:colOff>
      <xdr:row>10</xdr:row>
      <xdr:rowOff>76200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AC715F6-04E7-4636-974C-F341C3A556D0}"/>
            </a:ext>
          </a:extLst>
        </xdr:cNvPr>
        <xdr:cNvSpPr/>
      </xdr:nvSpPr>
      <xdr:spPr>
        <a:xfrm>
          <a:off x="1325880" y="1112520"/>
          <a:ext cx="10736580" cy="79248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373380</xdr:colOff>
      <xdr:row>1</xdr:row>
      <xdr:rowOff>83820</xdr:rowOff>
    </xdr:from>
    <xdr:to>
      <xdr:col>11</xdr:col>
      <xdr:colOff>373380</xdr:colOff>
      <xdr:row>3</xdr:row>
      <xdr:rowOff>160020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FC25CCF-0209-D1B5-245C-1BDF27465648}"/>
            </a:ext>
          </a:extLst>
        </xdr:cNvPr>
        <xdr:cNvSpPr/>
      </xdr:nvSpPr>
      <xdr:spPr>
        <a:xfrm>
          <a:off x="5128260" y="266700"/>
          <a:ext cx="3962400" cy="44196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Avant Propos </a:t>
          </a:r>
        </a:p>
      </xdr:txBody>
    </xdr:sp>
    <xdr:clientData/>
  </xdr:twoCellAnchor>
  <xdr:twoCellAnchor>
    <xdr:from>
      <xdr:col>11</xdr:col>
      <xdr:colOff>419100</xdr:colOff>
      <xdr:row>7</xdr:row>
      <xdr:rowOff>76200</xdr:rowOff>
    </xdr:from>
    <xdr:to>
      <xdr:col>14</xdr:col>
      <xdr:colOff>266700</xdr:colOff>
      <xdr:row>9</xdr:row>
      <xdr:rowOff>53340</xdr:rowOff>
    </xdr:to>
    <xdr:sp macro="[0]!Afficher_DiffusionOrganisme_AvantPropos" textlink="">
      <xdr:nvSpPr>
        <xdr:cNvPr id="3" name="diffusionOrganisme">
          <a:extLst>
            <a:ext uri="{FF2B5EF4-FFF2-40B4-BE49-F238E27FC236}">
              <a16:creationId xmlns:a16="http://schemas.microsoft.com/office/drawing/2014/main" id="{71D1809E-331D-4315-3D5B-AEC1237CFEAC}"/>
            </a:ext>
          </a:extLst>
        </xdr:cNvPr>
        <xdr:cNvSpPr/>
      </xdr:nvSpPr>
      <xdr:spPr>
        <a:xfrm>
          <a:off x="9136380" y="1356360"/>
          <a:ext cx="2225040" cy="3429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/>
            <a:t>Diffusion côté Organisme Audité</a:t>
          </a:r>
          <a:endParaRPr lang="fr-FR" sz="1100"/>
        </a:p>
      </xdr:txBody>
    </xdr:sp>
    <xdr:clientData/>
  </xdr:twoCellAnchor>
  <xdr:twoCellAnchor>
    <xdr:from>
      <xdr:col>8</xdr:col>
      <xdr:colOff>495300</xdr:colOff>
      <xdr:row>7</xdr:row>
      <xdr:rowOff>53340</xdr:rowOff>
    </xdr:from>
    <xdr:to>
      <xdr:col>11</xdr:col>
      <xdr:colOff>68580</xdr:colOff>
      <xdr:row>9</xdr:row>
      <xdr:rowOff>91440</xdr:rowOff>
    </xdr:to>
    <xdr:sp macro="[0]!Afficher_DiffusionAuditeur_AvantPropos" textlink="">
      <xdr:nvSpPr>
        <xdr:cNvPr id="4" name="diffusionAuditeur">
          <a:extLst>
            <a:ext uri="{FF2B5EF4-FFF2-40B4-BE49-F238E27FC236}">
              <a16:creationId xmlns:a16="http://schemas.microsoft.com/office/drawing/2014/main" id="{481E8F89-21ED-4906-B6CD-C1B001CF8B63}"/>
            </a:ext>
          </a:extLst>
        </xdr:cNvPr>
        <xdr:cNvSpPr/>
      </xdr:nvSpPr>
      <xdr:spPr>
        <a:xfrm>
          <a:off x="6835140" y="1333500"/>
          <a:ext cx="1950720" cy="40386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b="1"/>
            <a:t>Diffusion côté Auditeur</a:t>
          </a:r>
          <a:endParaRPr lang="fr-FR" sz="1100"/>
        </a:p>
      </xdr:txBody>
    </xdr:sp>
    <xdr:clientData/>
  </xdr:twoCellAnchor>
  <xdr:twoCellAnchor>
    <xdr:from>
      <xdr:col>5</xdr:col>
      <xdr:colOff>396240</xdr:colOff>
      <xdr:row>7</xdr:row>
      <xdr:rowOff>53340</xdr:rowOff>
    </xdr:from>
    <xdr:to>
      <xdr:col>7</xdr:col>
      <xdr:colOff>762000</xdr:colOff>
      <xdr:row>9</xdr:row>
      <xdr:rowOff>91440</xdr:rowOff>
    </xdr:to>
    <xdr:sp macro="[0]!Afficher_Historique_AvantPropos" textlink="">
      <xdr:nvSpPr>
        <xdr:cNvPr id="5" name="historique">
          <a:extLst>
            <a:ext uri="{FF2B5EF4-FFF2-40B4-BE49-F238E27FC236}">
              <a16:creationId xmlns:a16="http://schemas.microsoft.com/office/drawing/2014/main" id="{2E404C5A-7950-43F1-94B7-53A76B1FE09A}"/>
            </a:ext>
          </a:extLst>
        </xdr:cNvPr>
        <xdr:cNvSpPr/>
      </xdr:nvSpPr>
      <xdr:spPr>
        <a:xfrm>
          <a:off x="4358640" y="1333500"/>
          <a:ext cx="1950720" cy="40386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Historique des modifications</a:t>
          </a:r>
        </a:p>
      </xdr:txBody>
    </xdr:sp>
    <xdr:clientData/>
  </xdr:twoCellAnchor>
  <xdr:twoCellAnchor>
    <xdr:from>
      <xdr:col>2</xdr:col>
      <xdr:colOff>419100</xdr:colOff>
      <xdr:row>7</xdr:row>
      <xdr:rowOff>68580</xdr:rowOff>
    </xdr:from>
    <xdr:to>
      <xdr:col>4</xdr:col>
      <xdr:colOff>784860</xdr:colOff>
      <xdr:row>9</xdr:row>
      <xdr:rowOff>106680</xdr:rowOff>
    </xdr:to>
    <xdr:sp macro="[0]!Afficher_Confidentialite_AvantPropos" textlink="">
      <xdr:nvSpPr>
        <xdr:cNvPr id="7" name="confidentialite">
          <a:extLst>
            <a:ext uri="{FF2B5EF4-FFF2-40B4-BE49-F238E27FC236}">
              <a16:creationId xmlns:a16="http://schemas.microsoft.com/office/drawing/2014/main" id="{08B7F980-9038-4145-84C5-0F6A2668B8F7}"/>
            </a:ext>
          </a:extLst>
        </xdr:cNvPr>
        <xdr:cNvSpPr/>
      </xdr:nvSpPr>
      <xdr:spPr>
        <a:xfrm>
          <a:off x="2004060" y="1348740"/>
          <a:ext cx="1950720" cy="403860"/>
        </a:xfrm>
        <a:prstGeom prst="roundRect">
          <a:avLst/>
        </a:prstGeom>
        <a:gradFill flip="none" rotWithShape="1">
          <a:gsLst>
            <a:gs pos="0">
              <a:srgbClr val="FED64E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Confidentialité du document</a:t>
          </a:r>
        </a:p>
      </xdr:txBody>
    </xdr:sp>
    <xdr:clientData/>
  </xdr:twoCellAnchor>
  <xdr:twoCellAnchor>
    <xdr:from>
      <xdr:col>2</xdr:col>
      <xdr:colOff>777240</xdr:colOff>
      <xdr:row>14</xdr:row>
      <xdr:rowOff>152400</xdr:rowOff>
    </xdr:from>
    <xdr:to>
      <xdr:col>12</xdr:col>
      <xdr:colOff>746760</xdr:colOff>
      <xdr:row>15</xdr:row>
      <xdr:rowOff>175260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D692433-53F6-71F0-A7F6-4EAC46E52D43}"/>
            </a:ext>
          </a:extLst>
        </xdr:cNvPr>
        <xdr:cNvSpPr/>
      </xdr:nvSpPr>
      <xdr:spPr>
        <a:xfrm>
          <a:off x="2362200" y="2712720"/>
          <a:ext cx="7894320" cy="2057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Confidentialité du document</a:t>
          </a:r>
          <a:endParaRPr lang="fr-FR">
            <a:solidFill>
              <a:sysClr val="windowText" lastClr="000000"/>
            </a:solidFill>
            <a:effectLst/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259080</xdr:colOff>
          <xdr:row>18</xdr:row>
          <xdr:rowOff>7620</xdr:rowOff>
        </xdr:from>
        <xdr:to>
          <xdr:col>8</xdr:col>
          <xdr:colOff>495300</xdr:colOff>
          <xdr:row>19</xdr:row>
          <xdr:rowOff>7620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464820</xdr:colOff>
          <xdr:row>118</xdr:row>
          <xdr:rowOff>38100</xdr:rowOff>
        </xdr:from>
        <xdr:to>
          <xdr:col>7</xdr:col>
          <xdr:colOff>701040</xdr:colOff>
          <xdr:row>200</xdr:row>
          <xdr:rowOff>175260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21</xdr:row>
          <xdr:rowOff>175260</xdr:rowOff>
        </xdr:from>
        <xdr:to>
          <xdr:col>9</xdr:col>
          <xdr:colOff>381000</xdr:colOff>
          <xdr:row>23</xdr:row>
          <xdr:rowOff>15240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289560</xdr:colOff>
          <xdr:row>24</xdr:row>
          <xdr:rowOff>7620</xdr:rowOff>
        </xdr:from>
        <xdr:to>
          <xdr:col>12</xdr:col>
          <xdr:colOff>533400</xdr:colOff>
          <xdr:row>25</xdr:row>
          <xdr:rowOff>15240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434340</xdr:colOff>
          <xdr:row>20</xdr:row>
          <xdr:rowOff>7620</xdr:rowOff>
        </xdr:from>
        <xdr:to>
          <xdr:col>7</xdr:col>
          <xdr:colOff>655320</xdr:colOff>
          <xdr:row>21</xdr:row>
          <xdr:rowOff>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38100</xdr:colOff>
      <xdr:row>45</xdr:row>
      <xdr:rowOff>160020</xdr:rowOff>
    </xdr:from>
    <xdr:to>
      <xdr:col>4</xdr:col>
      <xdr:colOff>762000</xdr:colOff>
      <xdr:row>47</xdr:row>
      <xdr:rowOff>15240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2A9CED39-141C-24C2-4365-2DB43E989D15}"/>
            </a:ext>
          </a:extLst>
        </xdr:cNvPr>
        <xdr:cNvSpPr/>
      </xdr:nvSpPr>
      <xdr:spPr>
        <a:xfrm>
          <a:off x="2415540" y="3268980"/>
          <a:ext cx="151638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Version</a:t>
          </a:r>
        </a:p>
      </xdr:txBody>
    </xdr:sp>
    <xdr:clientData/>
  </xdr:twoCellAnchor>
  <xdr:twoCellAnchor>
    <xdr:from>
      <xdr:col>6</xdr:col>
      <xdr:colOff>30480</xdr:colOff>
      <xdr:row>45</xdr:row>
      <xdr:rowOff>144780</xdr:rowOff>
    </xdr:from>
    <xdr:to>
      <xdr:col>7</xdr:col>
      <xdr:colOff>754380</xdr:colOff>
      <xdr:row>46</xdr:row>
      <xdr:rowOff>175260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F9B2BAE9-3312-44A5-93B3-1D6400065BFD}"/>
            </a:ext>
          </a:extLst>
        </xdr:cNvPr>
        <xdr:cNvSpPr/>
      </xdr:nvSpPr>
      <xdr:spPr>
        <a:xfrm>
          <a:off x="4785360" y="3253740"/>
          <a:ext cx="1516380" cy="2133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Date</a:t>
          </a:r>
        </a:p>
      </xdr:txBody>
    </xdr:sp>
    <xdr:clientData/>
  </xdr:twoCellAnchor>
  <xdr:twoCellAnchor>
    <xdr:from>
      <xdr:col>9</xdr:col>
      <xdr:colOff>7620</xdr:colOff>
      <xdr:row>45</xdr:row>
      <xdr:rowOff>114300</xdr:rowOff>
    </xdr:from>
    <xdr:to>
      <xdr:col>10</xdr:col>
      <xdr:colOff>731520</xdr:colOff>
      <xdr:row>47</xdr:row>
      <xdr:rowOff>7620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75D3603-EEB4-4C61-AD53-1171D3B7A474}"/>
            </a:ext>
          </a:extLst>
        </xdr:cNvPr>
        <xdr:cNvSpPr/>
      </xdr:nvSpPr>
      <xdr:spPr>
        <a:xfrm>
          <a:off x="7139940" y="3223260"/>
          <a:ext cx="1516380" cy="2590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Auteur</a:t>
          </a:r>
        </a:p>
      </xdr:txBody>
    </xdr:sp>
    <xdr:clientData/>
  </xdr:twoCellAnchor>
  <xdr:twoCellAnchor>
    <xdr:from>
      <xdr:col>12</xdr:col>
      <xdr:colOff>45720</xdr:colOff>
      <xdr:row>45</xdr:row>
      <xdr:rowOff>106680</xdr:rowOff>
    </xdr:from>
    <xdr:to>
      <xdr:col>16</xdr:col>
      <xdr:colOff>0</xdr:colOff>
      <xdr:row>47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5C92005B-AF15-4EB1-9CDC-CBFAAA0D2A07}"/>
            </a:ext>
          </a:extLst>
        </xdr:cNvPr>
        <xdr:cNvSpPr/>
      </xdr:nvSpPr>
      <xdr:spPr>
        <a:xfrm>
          <a:off x="9555480" y="3215640"/>
          <a:ext cx="3124200" cy="2590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Modificationns </a:t>
          </a:r>
        </a:p>
      </xdr:txBody>
    </xdr:sp>
    <xdr:clientData/>
  </xdr:twoCellAnchor>
  <xdr:twoCellAnchor>
    <xdr:from>
      <xdr:col>3</xdr:col>
      <xdr:colOff>15240</xdr:colOff>
      <xdr:row>84</xdr:row>
      <xdr:rowOff>144780</xdr:rowOff>
    </xdr:from>
    <xdr:to>
      <xdr:col>5</xdr:col>
      <xdr:colOff>60960</xdr:colOff>
      <xdr:row>86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6177779-7E38-EEC9-B001-83EE8EE0FE6A}"/>
            </a:ext>
          </a:extLst>
        </xdr:cNvPr>
        <xdr:cNvSpPr/>
      </xdr:nvSpPr>
      <xdr:spPr>
        <a:xfrm>
          <a:off x="2392680" y="3070860"/>
          <a:ext cx="163068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</a:t>
          </a:r>
        </a:p>
      </xdr:txBody>
    </xdr:sp>
    <xdr:clientData/>
  </xdr:twoCellAnchor>
  <xdr:twoCellAnchor>
    <xdr:from>
      <xdr:col>5</xdr:col>
      <xdr:colOff>746760</xdr:colOff>
      <xdr:row>84</xdr:row>
      <xdr:rowOff>152400</xdr:rowOff>
    </xdr:from>
    <xdr:to>
      <xdr:col>8</xdr:col>
      <xdr:colOff>30480</xdr:colOff>
      <xdr:row>86</xdr:row>
      <xdr:rowOff>30480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2FE30DB-6DDF-47B2-8F94-4779724C63DF}"/>
            </a:ext>
          </a:extLst>
        </xdr:cNvPr>
        <xdr:cNvSpPr/>
      </xdr:nvSpPr>
      <xdr:spPr>
        <a:xfrm>
          <a:off x="4709160" y="3078480"/>
          <a:ext cx="166116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Prénom</a:t>
          </a:r>
        </a:p>
      </xdr:txBody>
    </xdr:sp>
    <xdr:clientData/>
  </xdr:twoCellAnchor>
  <xdr:twoCellAnchor>
    <xdr:from>
      <xdr:col>8</xdr:col>
      <xdr:colOff>777240</xdr:colOff>
      <xdr:row>84</xdr:row>
      <xdr:rowOff>160020</xdr:rowOff>
    </xdr:from>
    <xdr:to>
      <xdr:col>10</xdr:col>
      <xdr:colOff>777240</xdr:colOff>
      <xdr:row>86</xdr:row>
      <xdr:rowOff>53340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C13B744-456B-46FE-8A77-662A6A1CCA81}"/>
            </a:ext>
          </a:extLst>
        </xdr:cNvPr>
        <xdr:cNvSpPr/>
      </xdr:nvSpPr>
      <xdr:spPr>
        <a:xfrm>
          <a:off x="7117080" y="3086100"/>
          <a:ext cx="1584960" cy="2590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Titre</a:t>
          </a:r>
        </a:p>
      </xdr:txBody>
    </xdr:sp>
    <xdr:clientData/>
  </xdr:twoCellAnchor>
  <xdr:twoCellAnchor>
    <xdr:from>
      <xdr:col>11</xdr:col>
      <xdr:colOff>777240</xdr:colOff>
      <xdr:row>84</xdr:row>
      <xdr:rowOff>152400</xdr:rowOff>
    </xdr:from>
    <xdr:to>
      <xdr:col>14</xdr:col>
      <xdr:colOff>7620</xdr:colOff>
      <xdr:row>86</xdr:row>
      <xdr:rowOff>15240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2988FE8-F1D3-442C-84DF-BFE843BE2E21}"/>
            </a:ext>
          </a:extLst>
        </xdr:cNvPr>
        <xdr:cNvSpPr/>
      </xdr:nvSpPr>
      <xdr:spPr>
        <a:xfrm>
          <a:off x="9494520" y="3078480"/>
          <a:ext cx="160782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Téléphone</a:t>
          </a:r>
        </a:p>
      </xdr:txBody>
    </xdr:sp>
    <xdr:clientData/>
  </xdr:twoCellAnchor>
  <xdr:twoCellAnchor>
    <xdr:from>
      <xdr:col>14</xdr:col>
      <xdr:colOff>731520</xdr:colOff>
      <xdr:row>84</xdr:row>
      <xdr:rowOff>167640</xdr:rowOff>
    </xdr:from>
    <xdr:to>
      <xdr:col>18</xdr:col>
      <xdr:colOff>91440</xdr:colOff>
      <xdr:row>86</xdr:row>
      <xdr:rowOff>15240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D56BD56-B4D3-41F9-986E-F59F67E479E0}"/>
            </a:ext>
          </a:extLst>
        </xdr:cNvPr>
        <xdr:cNvSpPr/>
      </xdr:nvSpPr>
      <xdr:spPr>
        <a:xfrm>
          <a:off x="11826240" y="3093720"/>
          <a:ext cx="2529840" cy="2133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Email</a:t>
          </a:r>
        </a:p>
      </xdr:txBody>
    </xdr:sp>
    <xdr:clientData/>
  </xdr:twoCellAnchor>
  <xdr:twoCellAnchor>
    <xdr:from>
      <xdr:col>2</xdr:col>
      <xdr:colOff>784860</xdr:colOff>
      <xdr:row>123</xdr:row>
      <xdr:rowOff>144780</xdr:rowOff>
    </xdr:from>
    <xdr:to>
      <xdr:col>5</xdr:col>
      <xdr:colOff>83820</xdr:colOff>
      <xdr:row>125</xdr:row>
      <xdr:rowOff>60960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5DEB5162-8071-FCFA-26B8-5124DCC75F0A}"/>
            </a:ext>
          </a:extLst>
        </xdr:cNvPr>
        <xdr:cNvSpPr/>
      </xdr:nvSpPr>
      <xdr:spPr>
        <a:xfrm>
          <a:off x="2369820" y="2887980"/>
          <a:ext cx="1676400" cy="2819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</a:t>
          </a:r>
        </a:p>
      </xdr:txBody>
    </xdr:sp>
    <xdr:clientData/>
  </xdr:twoCellAnchor>
  <xdr:twoCellAnchor>
    <xdr:from>
      <xdr:col>5</xdr:col>
      <xdr:colOff>777240</xdr:colOff>
      <xdr:row>123</xdr:row>
      <xdr:rowOff>114300</xdr:rowOff>
    </xdr:from>
    <xdr:to>
      <xdr:col>7</xdr:col>
      <xdr:colOff>762000</xdr:colOff>
      <xdr:row>125</xdr:row>
      <xdr:rowOff>45720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C9678D6-4563-43DB-A861-32D61B7B4C5C}"/>
            </a:ext>
          </a:extLst>
        </xdr:cNvPr>
        <xdr:cNvSpPr/>
      </xdr:nvSpPr>
      <xdr:spPr>
        <a:xfrm>
          <a:off x="4739640" y="2857500"/>
          <a:ext cx="1569720" cy="2971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Prénom</a:t>
          </a:r>
        </a:p>
      </xdr:txBody>
    </xdr:sp>
    <xdr:clientData/>
  </xdr:twoCellAnchor>
  <xdr:twoCellAnchor>
    <xdr:from>
      <xdr:col>9</xdr:col>
      <xdr:colOff>15240</xdr:colOff>
      <xdr:row>123</xdr:row>
      <xdr:rowOff>99060</xdr:rowOff>
    </xdr:from>
    <xdr:to>
      <xdr:col>11</xdr:col>
      <xdr:colOff>15240</xdr:colOff>
      <xdr:row>125</xdr:row>
      <xdr:rowOff>15240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58B38F64-C8B1-480D-8EB8-02786F7213D6}"/>
            </a:ext>
          </a:extLst>
        </xdr:cNvPr>
        <xdr:cNvSpPr/>
      </xdr:nvSpPr>
      <xdr:spPr>
        <a:xfrm>
          <a:off x="7147560" y="2842260"/>
          <a:ext cx="1584960" cy="2819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Titre</a:t>
          </a:r>
        </a:p>
      </xdr:txBody>
    </xdr:sp>
    <xdr:clientData/>
  </xdr:twoCellAnchor>
  <xdr:twoCellAnchor>
    <xdr:from>
      <xdr:col>12</xdr:col>
      <xdr:colOff>0</xdr:colOff>
      <xdr:row>123</xdr:row>
      <xdr:rowOff>76200</xdr:rowOff>
    </xdr:from>
    <xdr:to>
      <xdr:col>13</xdr:col>
      <xdr:colOff>777240</xdr:colOff>
      <xdr:row>124</xdr:row>
      <xdr:rowOff>175260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7E4F6C5B-8098-4A9E-911C-4DDD12212DB4}"/>
            </a:ext>
          </a:extLst>
        </xdr:cNvPr>
        <xdr:cNvSpPr/>
      </xdr:nvSpPr>
      <xdr:spPr>
        <a:xfrm>
          <a:off x="9509760" y="2819400"/>
          <a:ext cx="1569720" cy="2819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Téléphone</a:t>
          </a:r>
        </a:p>
      </xdr:txBody>
    </xdr:sp>
    <xdr:clientData/>
  </xdr:twoCellAnchor>
  <xdr:twoCellAnchor>
    <xdr:from>
      <xdr:col>15</xdr:col>
      <xdr:colOff>0</xdr:colOff>
      <xdr:row>123</xdr:row>
      <xdr:rowOff>91440</xdr:rowOff>
    </xdr:from>
    <xdr:to>
      <xdr:col>17</xdr:col>
      <xdr:colOff>777240</xdr:colOff>
      <xdr:row>125</xdr:row>
      <xdr:rowOff>7620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7176C464-76E0-4A85-86E2-CE0805DA68E0}"/>
            </a:ext>
          </a:extLst>
        </xdr:cNvPr>
        <xdr:cNvSpPr/>
      </xdr:nvSpPr>
      <xdr:spPr>
        <a:xfrm>
          <a:off x="11887200" y="2834640"/>
          <a:ext cx="2362200" cy="2819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Email</a:t>
          </a:r>
        </a:p>
      </xdr:txBody>
    </xdr:sp>
    <xdr:clientData/>
  </xdr:twoCellAnchor>
  <xdr:twoCellAnchor>
    <xdr:from>
      <xdr:col>0</xdr:col>
      <xdr:colOff>289560</xdr:colOff>
      <xdr:row>43</xdr:row>
      <xdr:rowOff>15240</xdr:rowOff>
    </xdr:from>
    <xdr:to>
      <xdr:col>1</xdr:col>
      <xdr:colOff>777240</xdr:colOff>
      <xdr:row>44</xdr:row>
      <xdr:rowOff>99060</xdr:rowOff>
    </xdr:to>
    <xdr:sp macro="[0]!Ajouter_Confidentialite_Document_AvantPropo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26D6D869-3182-23BE-012B-AE7A2EC6EB55}"/>
            </a:ext>
          </a:extLst>
        </xdr:cNvPr>
        <xdr:cNvSpPr/>
      </xdr:nvSpPr>
      <xdr:spPr>
        <a:xfrm>
          <a:off x="289560" y="2758440"/>
          <a:ext cx="1280160" cy="2667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312420</xdr:colOff>
      <xdr:row>45</xdr:row>
      <xdr:rowOff>7620</xdr:rowOff>
    </xdr:from>
    <xdr:to>
      <xdr:col>1</xdr:col>
      <xdr:colOff>784860</xdr:colOff>
      <xdr:row>46</xdr:row>
      <xdr:rowOff>91440</xdr:rowOff>
    </xdr:to>
    <xdr:sp macro="[0]!Supprimer_Confidentialite_Document_AvantPropos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B420DBF2-54BC-DB80-AE1E-FCBBBC4784A9}"/>
            </a:ext>
          </a:extLst>
        </xdr:cNvPr>
        <xdr:cNvSpPr/>
      </xdr:nvSpPr>
      <xdr:spPr>
        <a:xfrm>
          <a:off x="312420" y="3116580"/>
          <a:ext cx="1264920" cy="2667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0</xdr:col>
      <xdr:colOff>121920</xdr:colOff>
      <xdr:row>83</xdr:row>
      <xdr:rowOff>60960</xdr:rowOff>
    </xdr:from>
    <xdr:to>
      <xdr:col>1</xdr:col>
      <xdr:colOff>670560</xdr:colOff>
      <xdr:row>84</xdr:row>
      <xdr:rowOff>121920</xdr:rowOff>
    </xdr:to>
    <xdr:sp macro="[0]!Ajouter_DiffusionAuditeur_AvantPropos" textlink="">
      <xdr:nvSpPr>
        <xdr:cNvPr id="26" name="Rectangle : coins arrondis 25">
          <a:extLst>
            <a:ext uri="{FF2B5EF4-FFF2-40B4-BE49-F238E27FC236}">
              <a16:creationId xmlns:a16="http://schemas.microsoft.com/office/drawing/2014/main" id="{C1647EF4-6194-F8BE-68EC-7C3D414CB707}"/>
            </a:ext>
          </a:extLst>
        </xdr:cNvPr>
        <xdr:cNvSpPr/>
      </xdr:nvSpPr>
      <xdr:spPr>
        <a:xfrm>
          <a:off x="121920" y="2804160"/>
          <a:ext cx="1341120" cy="2438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</a:t>
          </a:r>
        </a:p>
      </xdr:txBody>
    </xdr:sp>
    <xdr:clientData/>
  </xdr:twoCellAnchor>
  <xdr:twoCellAnchor>
    <xdr:from>
      <xdr:col>0</xdr:col>
      <xdr:colOff>121920</xdr:colOff>
      <xdr:row>84</xdr:row>
      <xdr:rowOff>160020</xdr:rowOff>
    </xdr:from>
    <xdr:to>
      <xdr:col>1</xdr:col>
      <xdr:colOff>662940</xdr:colOff>
      <xdr:row>86</xdr:row>
      <xdr:rowOff>60960</xdr:rowOff>
    </xdr:to>
    <xdr:sp macro="[0]!Supprimer_Confidentialite_Document_AvantPropos" textlink="">
      <xdr:nvSpPr>
        <xdr:cNvPr id="27" name="Rectangle : coins arrondis 26">
          <a:extLst>
            <a:ext uri="{FF2B5EF4-FFF2-40B4-BE49-F238E27FC236}">
              <a16:creationId xmlns:a16="http://schemas.microsoft.com/office/drawing/2014/main" id="{6A1D2139-2FF0-F916-0110-32169746FE68}"/>
            </a:ext>
          </a:extLst>
        </xdr:cNvPr>
        <xdr:cNvSpPr/>
      </xdr:nvSpPr>
      <xdr:spPr>
        <a:xfrm>
          <a:off x="121920" y="3086100"/>
          <a:ext cx="1333500" cy="2667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0</xdr:col>
      <xdr:colOff>320040</xdr:colOff>
      <xdr:row>121</xdr:row>
      <xdr:rowOff>137160</xdr:rowOff>
    </xdr:from>
    <xdr:to>
      <xdr:col>1</xdr:col>
      <xdr:colOff>632460</xdr:colOff>
      <xdr:row>123</xdr:row>
      <xdr:rowOff>53340</xdr:rowOff>
    </xdr:to>
    <xdr:sp macro="[0]!Ajouter_DiffusionOrganisme_AvantPropos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E94E3411-4BF0-A7C1-B4ED-5066A1214FA2}"/>
            </a:ext>
          </a:extLst>
        </xdr:cNvPr>
        <xdr:cNvSpPr/>
      </xdr:nvSpPr>
      <xdr:spPr>
        <a:xfrm>
          <a:off x="320040" y="2514600"/>
          <a:ext cx="1104900" cy="2819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320040</xdr:colOff>
      <xdr:row>123</xdr:row>
      <xdr:rowOff>137160</xdr:rowOff>
    </xdr:from>
    <xdr:to>
      <xdr:col>1</xdr:col>
      <xdr:colOff>632460</xdr:colOff>
      <xdr:row>125</xdr:row>
      <xdr:rowOff>53340</xdr:rowOff>
    </xdr:to>
    <xdr:sp macro="[0]!Supprimer_DiffusionOrganisme_AvantPropos" textlink="">
      <xdr:nvSpPr>
        <xdr:cNvPr id="29" name="Rectangle : coins arrondis 28">
          <a:extLst>
            <a:ext uri="{FF2B5EF4-FFF2-40B4-BE49-F238E27FC236}">
              <a16:creationId xmlns:a16="http://schemas.microsoft.com/office/drawing/2014/main" id="{F7EBA615-C794-448C-9047-AEF271A975D2}"/>
            </a:ext>
          </a:extLst>
        </xdr:cNvPr>
        <xdr:cNvSpPr/>
      </xdr:nvSpPr>
      <xdr:spPr>
        <a:xfrm>
          <a:off x="320040" y="2880360"/>
          <a:ext cx="1104900" cy="28194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335280</xdr:colOff>
      <xdr:row>1</xdr:row>
      <xdr:rowOff>91440</xdr:rowOff>
    </xdr:from>
    <xdr:to>
      <xdr:col>12</xdr:col>
      <xdr:colOff>281940</xdr:colOff>
      <xdr:row>4</xdr:row>
      <xdr:rowOff>15240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13A8072-5D50-CF35-9C38-E31DD7445863}"/>
            </a:ext>
          </a:extLst>
        </xdr:cNvPr>
        <xdr:cNvSpPr/>
      </xdr:nvSpPr>
      <xdr:spPr>
        <a:xfrm>
          <a:off x="4297680" y="274320"/>
          <a:ext cx="5494020" cy="47244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Cadre de la mission</a:t>
          </a:r>
        </a:p>
      </xdr:txBody>
    </xdr:sp>
    <xdr:clientData/>
  </xdr:twoCellAnchor>
  <xdr:twoCellAnchor>
    <xdr:from>
      <xdr:col>3</xdr:col>
      <xdr:colOff>129540</xdr:colOff>
      <xdr:row>8</xdr:row>
      <xdr:rowOff>160020</xdr:rowOff>
    </xdr:from>
    <xdr:to>
      <xdr:col>6</xdr:col>
      <xdr:colOff>708660</xdr:colOff>
      <xdr:row>10</xdr:row>
      <xdr:rowOff>15240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D6CDD55-C3D5-4AD0-AE63-A1956F3C99DF}"/>
            </a:ext>
          </a:extLst>
        </xdr:cNvPr>
        <xdr:cNvSpPr/>
      </xdr:nvSpPr>
      <xdr:spPr>
        <a:xfrm>
          <a:off x="2506980" y="1623060"/>
          <a:ext cx="295656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Section</a:t>
          </a:r>
        </a:p>
      </xdr:txBody>
    </xdr:sp>
    <xdr:clientData/>
  </xdr:twoCellAnchor>
  <xdr:twoCellAnchor>
    <xdr:from>
      <xdr:col>7</xdr:col>
      <xdr:colOff>541020</xdr:colOff>
      <xdr:row>8</xdr:row>
      <xdr:rowOff>167640</xdr:rowOff>
    </xdr:from>
    <xdr:to>
      <xdr:col>14</xdr:col>
      <xdr:colOff>365760</xdr:colOff>
      <xdr:row>10</xdr:row>
      <xdr:rowOff>22860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ADFC24F-28AC-40B1-AEF4-943C9AF820FB}"/>
            </a:ext>
          </a:extLst>
        </xdr:cNvPr>
        <xdr:cNvSpPr/>
      </xdr:nvSpPr>
      <xdr:spPr>
        <a:xfrm>
          <a:off x="6088380" y="1630680"/>
          <a:ext cx="537210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Détails</a:t>
          </a:r>
        </a:p>
      </xdr:txBody>
    </xdr:sp>
    <xdr:clientData/>
  </xdr:twoCellAnchor>
  <xdr:twoCellAnchor>
    <xdr:from>
      <xdr:col>15</xdr:col>
      <xdr:colOff>396240</xdr:colOff>
      <xdr:row>8</xdr:row>
      <xdr:rowOff>137160</xdr:rowOff>
    </xdr:from>
    <xdr:to>
      <xdr:col>17</xdr:col>
      <xdr:colOff>556260</xdr:colOff>
      <xdr:row>10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D91607A-A921-477C-A082-2E8119AA4C9C}"/>
            </a:ext>
          </a:extLst>
        </xdr:cNvPr>
        <xdr:cNvSpPr/>
      </xdr:nvSpPr>
      <xdr:spPr>
        <a:xfrm>
          <a:off x="12283440" y="1600200"/>
          <a:ext cx="174498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Réferences</a:t>
          </a:r>
        </a:p>
      </xdr:txBody>
    </xdr:sp>
    <xdr:clientData/>
  </xdr:twoCellAnchor>
  <xdr:twoCellAnchor>
    <xdr:from>
      <xdr:col>0</xdr:col>
      <xdr:colOff>91440</xdr:colOff>
      <xdr:row>7</xdr:row>
      <xdr:rowOff>167640</xdr:rowOff>
    </xdr:from>
    <xdr:to>
      <xdr:col>1</xdr:col>
      <xdr:colOff>228600</xdr:colOff>
      <xdr:row>9</xdr:row>
      <xdr:rowOff>15240</xdr:rowOff>
    </xdr:to>
    <xdr:sp macro="[0]!Ajouter_Information_CadreMission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EA185DEE-BB80-34FD-D87C-1637771BADFC}"/>
            </a:ext>
          </a:extLst>
        </xdr:cNvPr>
        <xdr:cNvSpPr/>
      </xdr:nvSpPr>
      <xdr:spPr>
        <a:xfrm>
          <a:off x="91440" y="1447800"/>
          <a:ext cx="929640" cy="21336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91440</xdr:colOff>
      <xdr:row>9</xdr:row>
      <xdr:rowOff>45720</xdr:rowOff>
    </xdr:from>
    <xdr:to>
      <xdr:col>1</xdr:col>
      <xdr:colOff>251460</xdr:colOff>
      <xdr:row>10</xdr:row>
      <xdr:rowOff>68580</xdr:rowOff>
    </xdr:to>
    <xdr:sp macro="[0]!Supprimer_Information_CadreMission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34EC0EC6-0B2A-421D-B69F-B57CD74E1992}"/>
            </a:ext>
          </a:extLst>
        </xdr:cNvPr>
        <xdr:cNvSpPr/>
      </xdr:nvSpPr>
      <xdr:spPr>
        <a:xfrm>
          <a:off x="91440" y="1691640"/>
          <a:ext cx="952500" cy="20574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3</xdr:row>
      <xdr:rowOff>7620</xdr:rowOff>
    </xdr:from>
    <xdr:to>
      <xdr:col>12</xdr:col>
      <xdr:colOff>358140</xdr:colOff>
      <xdr:row>5</xdr:row>
      <xdr:rowOff>45720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81ED460-D480-4858-026A-1E8D33E88025}"/>
            </a:ext>
          </a:extLst>
        </xdr:cNvPr>
        <xdr:cNvSpPr/>
      </xdr:nvSpPr>
      <xdr:spPr>
        <a:xfrm>
          <a:off x="3741420" y="556260"/>
          <a:ext cx="6126480" cy="40386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Termes et</a:t>
          </a:r>
          <a:r>
            <a:rPr lang="fr-FR" sz="16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définitions </a:t>
          </a:r>
          <a:endParaRPr lang="fr-FR" sz="16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4</xdr:col>
      <xdr:colOff>777240</xdr:colOff>
      <xdr:row>10</xdr:row>
      <xdr:rowOff>152400</xdr:rowOff>
    </xdr:from>
    <xdr:to>
      <xdr:col>7</xdr:col>
      <xdr:colOff>754380</xdr:colOff>
      <xdr:row>12</xdr:row>
      <xdr:rowOff>68580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D6AF66D-7D62-9BED-F178-EA9CD72C86C5}"/>
            </a:ext>
          </a:extLst>
        </xdr:cNvPr>
        <xdr:cNvSpPr/>
      </xdr:nvSpPr>
      <xdr:spPr>
        <a:xfrm>
          <a:off x="3947160" y="1981200"/>
          <a:ext cx="2354580" cy="2819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Terme</a:t>
          </a:r>
        </a:p>
      </xdr:txBody>
    </xdr:sp>
    <xdr:clientData/>
  </xdr:twoCellAnchor>
  <xdr:twoCellAnchor>
    <xdr:from>
      <xdr:col>10</xdr:col>
      <xdr:colOff>22860</xdr:colOff>
      <xdr:row>10</xdr:row>
      <xdr:rowOff>114300</xdr:rowOff>
    </xdr:from>
    <xdr:to>
      <xdr:col>15</xdr:col>
      <xdr:colOff>754380</xdr:colOff>
      <xdr:row>12</xdr:row>
      <xdr:rowOff>30480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3E8ED76-8394-4ACA-9681-52FCF3346417}"/>
            </a:ext>
          </a:extLst>
        </xdr:cNvPr>
        <xdr:cNvSpPr/>
      </xdr:nvSpPr>
      <xdr:spPr>
        <a:xfrm>
          <a:off x="7947660" y="1943100"/>
          <a:ext cx="4693920" cy="2819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Définition</a:t>
          </a:r>
        </a:p>
      </xdr:txBody>
    </xdr:sp>
    <xdr:clientData/>
  </xdr:twoCellAnchor>
  <xdr:twoCellAnchor>
    <xdr:from>
      <xdr:col>0</xdr:col>
      <xdr:colOff>640080</xdr:colOff>
      <xdr:row>14</xdr:row>
      <xdr:rowOff>137160</xdr:rowOff>
    </xdr:from>
    <xdr:to>
      <xdr:col>2</xdr:col>
      <xdr:colOff>137160</xdr:colOff>
      <xdr:row>16</xdr:row>
      <xdr:rowOff>15240</xdr:rowOff>
    </xdr:to>
    <xdr:sp macro="[0]!Recherche_Terme_Definition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FBC8CC3C-39CC-71A6-A13E-483EE56008C1}"/>
            </a:ext>
          </a:extLst>
        </xdr:cNvPr>
        <xdr:cNvSpPr/>
      </xdr:nvSpPr>
      <xdr:spPr>
        <a:xfrm>
          <a:off x="640080" y="2697480"/>
          <a:ext cx="1082040" cy="24384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Recherche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</xdr:colOff>
      <xdr:row>7</xdr:row>
      <xdr:rowOff>60960</xdr:rowOff>
    </xdr:from>
    <xdr:to>
      <xdr:col>14</xdr:col>
      <xdr:colOff>373380</xdr:colOff>
      <xdr:row>11</xdr:row>
      <xdr:rowOff>15240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664DB8BE-C38E-6F74-77F8-7C240441EF62}"/>
            </a:ext>
          </a:extLst>
        </xdr:cNvPr>
        <xdr:cNvSpPr/>
      </xdr:nvSpPr>
      <xdr:spPr>
        <a:xfrm>
          <a:off x="2080260" y="1341120"/>
          <a:ext cx="9387840" cy="68580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15240</xdr:colOff>
      <xdr:row>8</xdr:row>
      <xdr:rowOff>114300</xdr:rowOff>
    </xdr:from>
    <xdr:to>
      <xdr:col>5</xdr:col>
      <xdr:colOff>693420</xdr:colOff>
      <xdr:row>10</xdr:row>
      <xdr:rowOff>7620</xdr:rowOff>
    </xdr:to>
    <xdr:sp macro="[0]!Afficher_Presentation" textlink="">
      <xdr:nvSpPr>
        <xdr:cNvPr id="2" name="onglet_presentation">
          <a:extLst>
            <a:ext uri="{FF2B5EF4-FFF2-40B4-BE49-F238E27FC236}">
              <a16:creationId xmlns:a16="http://schemas.microsoft.com/office/drawing/2014/main" id="{88A3ABB6-9082-8436-E102-B37922D6B654}"/>
            </a:ext>
          </a:extLst>
        </xdr:cNvPr>
        <xdr:cNvSpPr/>
      </xdr:nvSpPr>
      <xdr:spPr>
        <a:xfrm>
          <a:off x="2392680" y="1577340"/>
          <a:ext cx="2263140" cy="259080"/>
        </a:xfrm>
        <a:prstGeom prst="roundRect">
          <a:avLst/>
        </a:prstGeom>
        <a:solidFill>
          <a:srgbClr val="A4A4A4"/>
        </a:solidFill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Présentation de l’organisme audité</a:t>
          </a:r>
        </a:p>
      </xdr:txBody>
    </xdr:sp>
    <xdr:clientData/>
  </xdr:twoCellAnchor>
  <xdr:twoCellAnchor>
    <xdr:from>
      <xdr:col>6</xdr:col>
      <xdr:colOff>373380</xdr:colOff>
      <xdr:row>8</xdr:row>
      <xdr:rowOff>114300</xdr:rowOff>
    </xdr:from>
    <xdr:to>
      <xdr:col>8</xdr:col>
      <xdr:colOff>640080</xdr:colOff>
      <xdr:row>10</xdr:row>
      <xdr:rowOff>7740</xdr:rowOff>
    </xdr:to>
    <xdr:sp macro="[0]!Afficher_Cartographie" textlink="">
      <xdr:nvSpPr>
        <xdr:cNvPr id="3" name="onglet_cartographie">
          <a:extLst>
            <a:ext uri="{FF2B5EF4-FFF2-40B4-BE49-F238E27FC236}">
              <a16:creationId xmlns:a16="http://schemas.microsoft.com/office/drawing/2014/main" id="{F23DD3B9-E907-EF5D-3673-8BCC3F2617A5}"/>
            </a:ext>
          </a:extLst>
        </xdr:cNvPr>
        <xdr:cNvSpPr/>
      </xdr:nvSpPr>
      <xdr:spPr>
        <a:xfrm>
          <a:off x="5128260" y="1577340"/>
          <a:ext cx="1851660" cy="259200"/>
        </a:xfrm>
        <a:prstGeom prst="roundRect">
          <a:avLst/>
        </a:prstGeom>
        <a:solidFill>
          <a:srgbClr val="FED64E"/>
        </a:solidFill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Cartographie des processus</a:t>
          </a:r>
        </a:p>
      </xdr:txBody>
    </xdr:sp>
    <xdr:clientData/>
  </xdr:twoCellAnchor>
  <xdr:twoCellAnchor>
    <xdr:from>
      <xdr:col>9</xdr:col>
      <xdr:colOff>510540</xdr:colOff>
      <xdr:row>8</xdr:row>
      <xdr:rowOff>114300</xdr:rowOff>
    </xdr:from>
    <xdr:to>
      <xdr:col>11</xdr:col>
      <xdr:colOff>411480</xdr:colOff>
      <xdr:row>10</xdr:row>
      <xdr:rowOff>7740</xdr:rowOff>
    </xdr:to>
    <xdr:sp macro="[0]!Afficher_Exigences" textlink="">
      <xdr:nvSpPr>
        <xdr:cNvPr id="4" name="onglet_exigences">
          <a:extLst>
            <a:ext uri="{FF2B5EF4-FFF2-40B4-BE49-F238E27FC236}">
              <a16:creationId xmlns:a16="http://schemas.microsoft.com/office/drawing/2014/main" id="{123205D3-1350-8F9A-F553-D68C988CE8D5}"/>
            </a:ext>
          </a:extLst>
        </xdr:cNvPr>
        <xdr:cNvSpPr/>
      </xdr:nvSpPr>
      <xdr:spPr>
        <a:xfrm>
          <a:off x="7642860" y="1577340"/>
          <a:ext cx="1485900" cy="259200"/>
        </a:xfrm>
        <a:prstGeom prst="roundRect">
          <a:avLst/>
        </a:prstGeom>
        <a:solidFill>
          <a:srgbClr val="A4A4A4"/>
        </a:solidFill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Exigences de sécurité</a:t>
          </a:r>
        </a:p>
      </xdr:txBody>
    </xdr:sp>
    <xdr:clientData/>
  </xdr:twoCellAnchor>
  <xdr:twoCellAnchor>
    <xdr:from>
      <xdr:col>12</xdr:col>
      <xdr:colOff>220980</xdr:colOff>
      <xdr:row>8</xdr:row>
      <xdr:rowOff>114300</xdr:rowOff>
    </xdr:from>
    <xdr:to>
      <xdr:col>13</xdr:col>
      <xdr:colOff>457200</xdr:colOff>
      <xdr:row>10</xdr:row>
      <xdr:rowOff>7740</xdr:rowOff>
    </xdr:to>
    <xdr:sp macro="[0]!Afficher_CID" textlink="">
      <xdr:nvSpPr>
        <xdr:cNvPr id="5" name="onglet_CID">
          <a:extLst>
            <a:ext uri="{FF2B5EF4-FFF2-40B4-BE49-F238E27FC236}">
              <a16:creationId xmlns:a16="http://schemas.microsoft.com/office/drawing/2014/main" id="{3D94AFCF-E96C-0045-7940-43C1473EA1FF}"/>
            </a:ext>
          </a:extLst>
        </xdr:cNvPr>
        <xdr:cNvSpPr/>
      </xdr:nvSpPr>
      <xdr:spPr>
        <a:xfrm>
          <a:off x="9730740" y="1577340"/>
          <a:ext cx="1028700" cy="259200"/>
        </a:xfrm>
        <a:prstGeom prst="roundRect">
          <a:avLst/>
        </a:prstGeom>
        <a:solidFill>
          <a:srgbClr val="A4A4A4"/>
        </a:solidFill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Matrice CID </a:t>
          </a:r>
        </a:p>
      </xdr:txBody>
    </xdr:sp>
    <xdr:clientData/>
  </xdr:twoCellAnchor>
  <xdr:twoCellAnchor>
    <xdr:from>
      <xdr:col>4</xdr:col>
      <xdr:colOff>68580</xdr:colOff>
      <xdr:row>2</xdr:row>
      <xdr:rowOff>7620</xdr:rowOff>
    </xdr:from>
    <xdr:to>
      <xdr:col>13</xdr:col>
      <xdr:colOff>411480</xdr:colOff>
      <xdr:row>5</xdr:row>
      <xdr:rowOff>45720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AB011FCF-10D4-AEC5-FAB3-66B3014A0549}"/>
            </a:ext>
          </a:extLst>
        </xdr:cNvPr>
        <xdr:cNvSpPr/>
      </xdr:nvSpPr>
      <xdr:spPr>
        <a:xfrm>
          <a:off x="3238500" y="373380"/>
          <a:ext cx="7475220" cy="58674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fr-FR" sz="1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Presentation</a:t>
          </a:r>
          <a:r>
            <a:rPr lang="fr-FR" sz="16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de l'organisme audité</a:t>
          </a:r>
          <a:endParaRPr lang="fr-FR" sz="1600" b="1" cap="none" spc="0">
            <a:ln/>
            <a:solidFill>
              <a:schemeClr val="accent3"/>
            </a:solidFill>
            <a:effectLst/>
          </a:endParaRPr>
        </a:p>
      </xdr:txBody>
    </xdr:sp>
    <xdr:clientData/>
  </xdr:twoCellAnchor>
  <xdr:twoCellAnchor>
    <xdr:from>
      <xdr:col>2</xdr:col>
      <xdr:colOff>15240</xdr:colOff>
      <xdr:row>16</xdr:row>
      <xdr:rowOff>0</xdr:rowOff>
    </xdr:from>
    <xdr:to>
      <xdr:col>4</xdr:col>
      <xdr:colOff>15240</xdr:colOff>
      <xdr:row>17</xdr:row>
      <xdr:rowOff>38100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7F7866E-2502-5497-8C5C-B3071913D4F1}"/>
            </a:ext>
          </a:extLst>
        </xdr:cNvPr>
        <xdr:cNvSpPr/>
      </xdr:nvSpPr>
      <xdr:spPr>
        <a:xfrm>
          <a:off x="1600200" y="2926080"/>
          <a:ext cx="158496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Section</a:t>
          </a:r>
        </a:p>
      </xdr:txBody>
    </xdr:sp>
    <xdr:clientData/>
  </xdr:twoCellAnchor>
  <xdr:twoCellAnchor>
    <xdr:from>
      <xdr:col>6</xdr:col>
      <xdr:colOff>0</xdr:colOff>
      <xdr:row>15</xdr:row>
      <xdr:rowOff>175260</xdr:rowOff>
    </xdr:from>
    <xdr:to>
      <xdr:col>8</xdr:col>
      <xdr:colOff>15240</xdr:colOff>
      <xdr:row>17</xdr:row>
      <xdr:rowOff>22860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15F88D4-5872-09A2-8580-DBA441FFD70C}"/>
            </a:ext>
          </a:extLst>
        </xdr:cNvPr>
        <xdr:cNvSpPr/>
      </xdr:nvSpPr>
      <xdr:spPr>
        <a:xfrm>
          <a:off x="4754880" y="2918460"/>
          <a:ext cx="1600200" cy="2133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Détails</a:t>
          </a:r>
        </a:p>
      </xdr:txBody>
    </xdr:sp>
    <xdr:clientData/>
  </xdr:twoCellAnchor>
  <xdr:twoCellAnchor>
    <xdr:from>
      <xdr:col>2</xdr:col>
      <xdr:colOff>7620</xdr:colOff>
      <xdr:row>17</xdr:row>
      <xdr:rowOff>213360</xdr:rowOff>
    </xdr:from>
    <xdr:to>
      <xdr:col>4</xdr:col>
      <xdr:colOff>0</xdr:colOff>
      <xdr:row>19</xdr:row>
      <xdr:rowOff>15240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7D17F4AC-9EC8-214B-B3EC-01BA9FD871A1}"/>
            </a:ext>
          </a:extLst>
        </xdr:cNvPr>
        <xdr:cNvSpPr/>
      </xdr:nvSpPr>
      <xdr:spPr>
        <a:xfrm>
          <a:off x="1592580" y="3322320"/>
          <a:ext cx="1577340" cy="2286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Nom de l’organisme</a:t>
          </a:r>
        </a:p>
      </xdr:txBody>
    </xdr:sp>
    <xdr:clientData/>
  </xdr:twoCellAnchor>
  <xdr:twoCellAnchor>
    <xdr:from>
      <xdr:col>2</xdr:col>
      <xdr:colOff>7620</xdr:colOff>
      <xdr:row>19</xdr:row>
      <xdr:rowOff>175260</xdr:rowOff>
    </xdr:from>
    <xdr:to>
      <xdr:col>3</xdr:col>
      <xdr:colOff>791940</xdr:colOff>
      <xdr:row>21</xdr:row>
      <xdr:rowOff>9420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D61CC57A-AE42-3833-FA9D-EDDF5E6D0371}"/>
            </a:ext>
          </a:extLst>
        </xdr:cNvPr>
        <xdr:cNvSpPr/>
      </xdr:nvSpPr>
      <xdr:spPr>
        <a:xfrm>
          <a:off x="1592580" y="3710940"/>
          <a:ext cx="15768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Acronyme</a:t>
          </a:r>
        </a:p>
      </xdr:txBody>
    </xdr:sp>
    <xdr:clientData/>
  </xdr:twoCellAnchor>
  <xdr:twoCellAnchor>
    <xdr:from>
      <xdr:col>2</xdr:col>
      <xdr:colOff>7620</xdr:colOff>
      <xdr:row>21</xdr:row>
      <xdr:rowOff>175260</xdr:rowOff>
    </xdr:from>
    <xdr:to>
      <xdr:col>3</xdr:col>
      <xdr:colOff>791940</xdr:colOff>
      <xdr:row>23</xdr:row>
      <xdr:rowOff>9420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7BCB93-8D39-41A3-BB44-DA9A77AA41C3}"/>
            </a:ext>
          </a:extLst>
        </xdr:cNvPr>
        <xdr:cNvSpPr/>
      </xdr:nvSpPr>
      <xdr:spPr>
        <a:xfrm>
          <a:off x="1592580" y="4107180"/>
          <a:ext cx="15768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Statut</a:t>
          </a:r>
        </a:p>
      </xdr:txBody>
    </xdr:sp>
    <xdr:clientData/>
  </xdr:twoCellAnchor>
  <xdr:twoCellAnchor>
    <xdr:from>
      <xdr:col>2</xdr:col>
      <xdr:colOff>0</xdr:colOff>
      <xdr:row>23</xdr:row>
      <xdr:rowOff>167640</xdr:rowOff>
    </xdr:from>
    <xdr:to>
      <xdr:col>3</xdr:col>
      <xdr:colOff>784320</xdr:colOff>
      <xdr:row>25</xdr:row>
      <xdr:rowOff>1800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B593E196-EE94-42C3-BCD5-F62BE6B26098}"/>
            </a:ext>
          </a:extLst>
        </xdr:cNvPr>
        <xdr:cNvSpPr/>
      </xdr:nvSpPr>
      <xdr:spPr>
        <a:xfrm>
          <a:off x="1584960" y="4495800"/>
          <a:ext cx="15768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Secteur</a:t>
          </a:r>
          <a:r>
            <a:rPr lang="fr-FR" sz="1100" baseline="0"/>
            <a:t> d'activité</a:t>
          </a:r>
          <a:endParaRPr lang="fr-FR" sz="1100"/>
        </a:p>
      </xdr:txBody>
    </xdr:sp>
    <xdr:clientData/>
  </xdr:twoCellAnchor>
  <xdr:twoCellAnchor>
    <xdr:from>
      <xdr:col>2</xdr:col>
      <xdr:colOff>7620</xdr:colOff>
      <xdr:row>25</xdr:row>
      <xdr:rowOff>160020</xdr:rowOff>
    </xdr:from>
    <xdr:to>
      <xdr:col>3</xdr:col>
      <xdr:colOff>791940</xdr:colOff>
      <xdr:row>27</xdr:row>
      <xdr:rowOff>9420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64EAC9C-93A0-46D3-9405-90B61F6ABDB0}"/>
            </a:ext>
          </a:extLst>
        </xdr:cNvPr>
        <xdr:cNvSpPr/>
      </xdr:nvSpPr>
      <xdr:spPr>
        <a:xfrm>
          <a:off x="1592580" y="4884420"/>
          <a:ext cx="15768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Catégorie</a:t>
          </a:r>
        </a:p>
      </xdr:txBody>
    </xdr:sp>
    <xdr:clientData/>
  </xdr:twoCellAnchor>
  <xdr:twoCellAnchor>
    <xdr:from>
      <xdr:col>2</xdr:col>
      <xdr:colOff>7620</xdr:colOff>
      <xdr:row>27</xdr:row>
      <xdr:rowOff>160020</xdr:rowOff>
    </xdr:from>
    <xdr:to>
      <xdr:col>3</xdr:col>
      <xdr:colOff>791940</xdr:colOff>
      <xdr:row>29</xdr:row>
      <xdr:rowOff>24660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6E0DE0D1-C214-4E46-9B62-67DF9B7B868D}"/>
            </a:ext>
          </a:extLst>
        </xdr:cNvPr>
        <xdr:cNvSpPr/>
      </xdr:nvSpPr>
      <xdr:spPr>
        <a:xfrm>
          <a:off x="1592580" y="5265420"/>
          <a:ext cx="15768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Site</a:t>
          </a:r>
          <a:r>
            <a:rPr lang="fr-FR" sz="1100" baseline="0"/>
            <a:t> web</a:t>
          </a:r>
          <a:endParaRPr lang="fr-FR" sz="1100"/>
        </a:p>
      </xdr:txBody>
    </xdr:sp>
    <xdr:clientData/>
  </xdr:twoCellAnchor>
  <xdr:twoCellAnchor>
    <xdr:from>
      <xdr:col>2</xdr:col>
      <xdr:colOff>15240</xdr:colOff>
      <xdr:row>29</xdr:row>
      <xdr:rowOff>152400</xdr:rowOff>
    </xdr:from>
    <xdr:to>
      <xdr:col>4</xdr:col>
      <xdr:colOff>7080</xdr:colOff>
      <xdr:row>31</xdr:row>
      <xdr:rowOff>17040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FFB534B1-D906-43DC-B162-F8C47CFA3AB7}"/>
            </a:ext>
          </a:extLst>
        </xdr:cNvPr>
        <xdr:cNvSpPr/>
      </xdr:nvSpPr>
      <xdr:spPr>
        <a:xfrm>
          <a:off x="1600200" y="5623560"/>
          <a:ext cx="15768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Adresse</a:t>
          </a:r>
          <a:r>
            <a:rPr lang="fr-FR" sz="1100" baseline="0"/>
            <a:t> Email</a:t>
          </a:r>
          <a:endParaRPr lang="fr-FR" sz="1100"/>
        </a:p>
      </xdr:txBody>
    </xdr:sp>
    <xdr:clientData/>
  </xdr:twoCellAnchor>
  <xdr:twoCellAnchor>
    <xdr:from>
      <xdr:col>2</xdr:col>
      <xdr:colOff>777240</xdr:colOff>
      <xdr:row>216</xdr:row>
      <xdr:rowOff>167640</xdr:rowOff>
    </xdr:from>
    <xdr:to>
      <xdr:col>4</xdr:col>
      <xdr:colOff>0</xdr:colOff>
      <xdr:row>218</xdr:row>
      <xdr:rowOff>22860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7421DF8-73D9-BA52-D465-DA6D57831447}"/>
            </a:ext>
          </a:extLst>
        </xdr:cNvPr>
        <xdr:cNvSpPr/>
      </xdr:nvSpPr>
      <xdr:spPr>
        <a:xfrm>
          <a:off x="2362200" y="3093720"/>
          <a:ext cx="80772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Numero</a:t>
          </a:r>
        </a:p>
      </xdr:txBody>
    </xdr:sp>
    <xdr:clientData/>
  </xdr:twoCellAnchor>
  <xdr:twoCellAnchor>
    <xdr:from>
      <xdr:col>4</xdr:col>
      <xdr:colOff>754380</xdr:colOff>
      <xdr:row>216</xdr:row>
      <xdr:rowOff>144780</xdr:rowOff>
    </xdr:from>
    <xdr:to>
      <xdr:col>7</xdr:col>
      <xdr:colOff>464940</xdr:colOff>
      <xdr:row>217</xdr:row>
      <xdr:rowOff>181500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9A512F1-0A00-4A55-98A2-9BDD08D884CB}"/>
            </a:ext>
          </a:extLst>
        </xdr:cNvPr>
        <xdr:cNvSpPr/>
      </xdr:nvSpPr>
      <xdr:spPr>
        <a:xfrm>
          <a:off x="3924300" y="3070860"/>
          <a:ext cx="2088000" cy="219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Processus</a:t>
          </a:r>
        </a:p>
      </xdr:txBody>
    </xdr:sp>
    <xdr:clientData/>
  </xdr:twoCellAnchor>
  <xdr:twoCellAnchor>
    <xdr:from>
      <xdr:col>9</xdr:col>
      <xdr:colOff>0</xdr:colOff>
      <xdr:row>216</xdr:row>
      <xdr:rowOff>144780</xdr:rowOff>
    </xdr:from>
    <xdr:to>
      <xdr:col>10</xdr:col>
      <xdr:colOff>647700</xdr:colOff>
      <xdr:row>217</xdr:row>
      <xdr:rowOff>181500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F42E573D-264E-4267-A7C0-7427CE79EF74}"/>
            </a:ext>
          </a:extLst>
        </xdr:cNvPr>
        <xdr:cNvSpPr/>
      </xdr:nvSpPr>
      <xdr:spPr>
        <a:xfrm>
          <a:off x="7132320" y="3070860"/>
          <a:ext cx="1440180" cy="219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Description</a:t>
          </a:r>
        </a:p>
      </xdr:txBody>
    </xdr:sp>
    <xdr:clientData/>
  </xdr:twoCellAnchor>
  <xdr:twoCellAnchor>
    <xdr:from>
      <xdr:col>15</xdr:col>
      <xdr:colOff>0</xdr:colOff>
      <xdr:row>216</xdr:row>
      <xdr:rowOff>167640</xdr:rowOff>
    </xdr:from>
    <xdr:to>
      <xdr:col>16</xdr:col>
      <xdr:colOff>502920</xdr:colOff>
      <xdr:row>218</xdr:row>
      <xdr:rowOff>22860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43864D1C-9990-4283-A242-15DC71B45DB1}"/>
            </a:ext>
          </a:extLst>
        </xdr:cNvPr>
        <xdr:cNvSpPr/>
      </xdr:nvSpPr>
      <xdr:spPr>
        <a:xfrm>
          <a:off x="11887200" y="3093720"/>
          <a:ext cx="151638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Flux de données associés</a:t>
          </a:r>
        </a:p>
      </xdr:txBody>
    </xdr:sp>
    <xdr:clientData/>
  </xdr:twoCellAnchor>
  <xdr:twoCellAnchor>
    <xdr:from>
      <xdr:col>2</xdr:col>
      <xdr:colOff>769620</xdr:colOff>
      <xdr:row>219</xdr:row>
      <xdr:rowOff>205740</xdr:rowOff>
    </xdr:from>
    <xdr:to>
      <xdr:col>4</xdr:col>
      <xdr:colOff>7620</xdr:colOff>
      <xdr:row>221</xdr:row>
      <xdr:rowOff>9420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A3CE343A-746D-0F9B-E4F8-CB78416D228F}"/>
            </a:ext>
          </a:extLst>
        </xdr:cNvPr>
        <xdr:cNvSpPr/>
      </xdr:nvSpPr>
      <xdr:spPr>
        <a:xfrm>
          <a:off x="2354580" y="3680460"/>
          <a:ext cx="82296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1</a:t>
          </a:r>
        </a:p>
      </xdr:txBody>
    </xdr:sp>
    <xdr:clientData/>
  </xdr:twoCellAnchor>
  <xdr:twoCellAnchor>
    <xdr:from>
      <xdr:col>2</xdr:col>
      <xdr:colOff>769620</xdr:colOff>
      <xdr:row>221</xdr:row>
      <xdr:rowOff>175260</xdr:rowOff>
    </xdr:from>
    <xdr:to>
      <xdr:col>4</xdr:col>
      <xdr:colOff>9060</xdr:colOff>
      <xdr:row>223</xdr:row>
      <xdr:rowOff>9420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37BE0FB-C4FC-4705-B3E9-61FBF3F97153}"/>
            </a:ext>
          </a:extLst>
        </xdr:cNvPr>
        <xdr:cNvSpPr/>
      </xdr:nvSpPr>
      <xdr:spPr>
        <a:xfrm>
          <a:off x="2354580" y="4076700"/>
          <a:ext cx="8244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2</a:t>
          </a:r>
        </a:p>
      </xdr:txBody>
    </xdr:sp>
    <xdr:clientData/>
  </xdr:twoCellAnchor>
  <xdr:twoCellAnchor>
    <xdr:from>
      <xdr:col>2</xdr:col>
      <xdr:colOff>777240</xdr:colOff>
      <xdr:row>223</xdr:row>
      <xdr:rowOff>190500</xdr:rowOff>
    </xdr:from>
    <xdr:to>
      <xdr:col>4</xdr:col>
      <xdr:colOff>15240</xdr:colOff>
      <xdr:row>225</xdr:row>
      <xdr:rowOff>24660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9063FFAC-DAF2-48B5-BAA9-2CBF3937B86F}"/>
            </a:ext>
          </a:extLst>
        </xdr:cNvPr>
        <xdr:cNvSpPr/>
      </xdr:nvSpPr>
      <xdr:spPr>
        <a:xfrm>
          <a:off x="2362200" y="4488180"/>
          <a:ext cx="82296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3</a:t>
          </a:r>
        </a:p>
      </xdr:txBody>
    </xdr:sp>
    <xdr:clientData/>
  </xdr:twoCellAnchor>
  <xdr:twoCellAnchor>
    <xdr:from>
      <xdr:col>2</xdr:col>
      <xdr:colOff>769620</xdr:colOff>
      <xdr:row>225</xdr:row>
      <xdr:rowOff>160020</xdr:rowOff>
    </xdr:from>
    <xdr:to>
      <xdr:col>4</xdr:col>
      <xdr:colOff>7620</xdr:colOff>
      <xdr:row>227</xdr:row>
      <xdr:rowOff>9420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FAC23A92-B88E-43FB-A1B5-79E5B1F1ACF0}"/>
            </a:ext>
          </a:extLst>
        </xdr:cNvPr>
        <xdr:cNvSpPr/>
      </xdr:nvSpPr>
      <xdr:spPr>
        <a:xfrm>
          <a:off x="2354580" y="4853940"/>
          <a:ext cx="82296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4</a:t>
          </a:r>
        </a:p>
      </xdr:txBody>
    </xdr:sp>
    <xdr:clientData/>
  </xdr:twoCellAnchor>
  <xdr:twoCellAnchor>
    <xdr:from>
      <xdr:col>2</xdr:col>
      <xdr:colOff>769620</xdr:colOff>
      <xdr:row>227</xdr:row>
      <xdr:rowOff>144780</xdr:rowOff>
    </xdr:from>
    <xdr:to>
      <xdr:col>4</xdr:col>
      <xdr:colOff>7620</xdr:colOff>
      <xdr:row>229</xdr:row>
      <xdr:rowOff>9420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FA5B808C-1281-4C67-8F48-F43F8E2E5233}"/>
            </a:ext>
          </a:extLst>
        </xdr:cNvPr>
        <xdr:cNvSpPr/>
      </xdr:nvSpPr>
      <xdr:spPr>
        <a:xfrm>
          <a:off x="2354580" y="5219700"/>
          <a:ext cx="82296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5</a:t>
          </a:r>
        </a:p>
      </xdr:txBody>
    </xdr:sp>
    <xdr:clientData/>
  </xdr:twoCellAnchor>
  <xdr:twoCellAnchor>
    <xdr:from>
      <xdr:col>2</xdr:col>
      <xdr:colOff>777240</xdr:colOff>
      <xdr:row>229</xdr:row>
      <xdr:rowOff>137160</xdr:rowOff>
    </xdr:from>
    <xdr:to>
      <xdr:col>4</xdr:col>
      <xdr:colOff>15240</xdr:colOff>
      <xdr:row>231</xdr:row>
      <xdr:rowOff>1800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EA8D010F-0657-440A-B5FB-A92ACA89A76A}"/>
            </a:ext>
          </a:extLst>
        </xdr:cNvPr>
        <xdr:cNvSpPr/>
      </xdr:nvSpPr>
      <xdr:spPr>
        <a:xfrm>
          <a:off x="2362200" y="5577840"/>
          <a:ext cx="82296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6</a:t>
          </a:r>
        </a:p>
      </xdr:txBody>
    </xdr:sp>
    <xdr:clientData/>
  </xdr:twoCellAnchor>
  <xdr:twoCellAnchor>
    <xdr:from>
      <xdr:col>5</xdr:col>
      <xdr:colOff>0</xdr:colOff>
      <xdr:row>219</xdr:row>
      <xdr:rowOff>198120</xdr:rowOff>
    </xdr:from>
    <xdr:to>
      <xdr:col>7</xdr:col>
      <xdr:colOff>503040</xdr:colOff>
      <xdr:row>221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50105CED-DD7C-059D-9662-2F5FC2C71A77}"/>
            </a:ext>
          </a:extLst>
        </xdr:cNvPr>
        <xdr:cNvSpPr/>
      </xdr:nvSpPr>
      <xdr:spPr>
        <a:xfrm>
          <a:off x="3962400" y="3672840"/>
          <a:ext cx="2088000" cy="2286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Gestion des audits</a:t>
          </a:r>
        </a:p>
      </xdr:txBody>
    </xdr:sp>
    <xdr:clientData/>
  </xdr:twoCellAnchor>
  <xdr:twoCellAnchor>
    <xdr:from>
      <xdr:col>4</xdr:col>
      <xdr:colOff>784860</xdr:colOff>
      <xdr:row>221</xdr:row>
      <xdr:rowOff>167640</xdr:rowOff>
    </xdr:from>
    <xdr:to>
      <xdr:col>7</xdr:col>
      <xdr:colOff>495420</xdr:colOff>
      <xdr:row>223</xdr:row>
      <xdr:rowOff>1800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1EA111D-66D9-4E77-8B08-11BF267AB239}"/>
            </a:ext>
          </a:extLst>
        </xdr:cNvPr>
        <xdr:cNvSpPr/>
      </xdr:nvSpPr>
      <xdr:spPr>
        <a:xfrm>
          <a:off x="3954780" y="4069080"/>
          <a:ext cx="20880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 baseline="0"/>
            <a:t> Gestion des risques</a:t>
          </a:r>
          <a:endParaRPr lang="fr-FR" sz="1100"/>
        </a:p>
      </xdr:txBody>
    </xdr:sp>
    <xdr:clientData/>
  </xdr:twoCellAnchor>
  <xdr:twoCellAnchor>
    <xdr:from>
      <xdr:col>4</xdr:col>
      <xdr:colOff>784860</xdr:colOff>
      <xdr:row>223</xdr:row>
      <xdr:rowOff>175260</xdr:rowOff>
    </xdr:from>
    <xdr:to>
      <xdr:col>7</xdr:col>
      <xdr:colOff>495300</xdr:colOff>
      <xdr:row>225</xdr:row>
      <xdr:rowOff>9420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FCF69210-3FC5-4F71-BBD5-AD454D7052E9}"/>
            </a:ext>
          </a:extLst>
        </xdr:cNvPr>
        <xdr:cNvSpPr/>
      </xdr:nvSpPr>
      <xdr:spPr>
        <a:xfrm>
          <a:off x="3954780" y="4472940"/>
          <a:ext cx="208788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Gestion</a:t>
          </a:r>
          <a:r>
            <a:rPr lang="fr-FR" sz="1100" baseline="0"/>
            <a:t> des ressources humaines </a:t>
          </a:r>
          <a:endParaRPr lang="fr-FR" sz="1100"/>
        </a:p>
      </xdr:txBody>
    </xdr:sp>
    <xdr:clientData/>
  </xdr:twoCellAnchor>
  <xdr:twoCellAnchor>
    <xdr:from>
      <xdr:col>5</xdr:col>
      <xdr:colOff>0</xdr:colOff>
      <xdr:row>225</xdr:row>
      <xdr:rowOff>167640</xdr:rowOff>
    </xdr:from>
    <xdr:to>
      <xdr:col>7</xdr:col>
      <xdr:colOff>503040</xdr:colOff>
      <xdr:row>227</xdr:row>
      <xdr:rowOff>17040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9735351-E148-4D42-A76B-D9A138D0451A}"/>
            </a:ext>
          </a:extLst>
        </xdr:cNvPr>
        <xdr:cNvSpPr/>
      </xdr:nvSpPr>
      <xdr:spPr>
        <a:xfrm>
          <a:off x="3962400" y="4861560"/>
          <a:ext cx="20880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Services</a:t>
          </a:r>
          <a:r>
            <a:rPr lang="fr-FR" sz="1100" baseline="0"/>
            <a:t> fiscaux</a:t>
          </a:r>
          <a:endParaRPr lang="fr-FR" sz="1100"/>
        </a:p>
      </xdr:txBody>
    </xdr:sp>
    <xdr:clientData/>
  </xdr:twoCellAnchor>
  <xdr:twoCellAnchor>
    <xdr:from>
      <xdr:col>4</xdr:col>
      <xdr:colOff>784860</xdr:colOff>
      <xdr:row>227</xdr:row>
      <xdr:rowOff>152400</xdr:rowOff>
    </xdr:from>
    <xdr:to>
      <xdr:col>7</xdr:col>
      <xdr:colOff>495420</xdr:colOff>
      <xdr:row>229</xdr:row>
      <xdr:rowOff>17040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A705221-3F9A-46C1-93A0-B58324800079}"/>
            </a:ext>
          </a:extLst>
        </xdr:cNvPr>
        <xdr:cNvSpPr/>
      </xdr:nvSpPr>
      <xdr:spPr>
        <a:xfrm>
          <a:off x="3954780" y="5227320"/>
          <a:ext cx="20880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Gestion des</a:t>
          </a:r>
          <a:r>
            <a:rPr lang="fr-FR" sz="1100" baseline="0"/>
            <a:t> incidents de sécurité</a:t>
          </a:r>
          <a:endParaRPr lang="fr-FR" sz="1100"/>
        </a:p>
      </xdr:txBody>
    </xdr:sp>
    <xdr:clientData/>
  </xdr:twoCellAnchor>
  <xdr:twoCellAnchor>
    <xdr:from>
      <xdr:col>4</xdr:col>
      <xdr:colOff>769620</xdr:colOff>
      <xdr:row>229</xdr:row>
      <xdr:rowOff>121920</xdr:rowOff>
    </xdr:from>
    <xdr:to>
      <xdr:col>7</xdr:col>
      <xdr:colOff>480180</xdr:colOff>
      <xdr:row>230</xdr:row>
      <xdr:rowOff>169440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B0706304-EDB9-48F8-BBAC-7BEB5E2FC426}"/>
            </a:ext>
          </a:extLst>
        </xdr:cNvPr>
        <xdr:cNvSpPr/>
      </xdr:nvSpPr>
      <xdr:spPr>
        <a:xfrm>
          <a:off x="3939540" y="5562600"/>
          <a:ext cx="2088000" cy="2304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Gestion des achats</a:t>
          </a:r>
        </a:p>
      </xdr:txBody>
    </xdr:sp>
    <xdr:clientData/>
  </xdr:twoCellAnchor>
  <xdr:twoCellAnchor>
    <xdr:from>
      <xdr:col>0</xdr:col>
      <xdr:colOff>198120</xdr:colOff>
      <xdr:row>221</xdr:row>
      <xdr:rowOff>99060</xdr:rowOff>
    </xdr:from>
    <xdr:to>
      <xdr:col>2</xdr:col>
      <xdr:colOff>373560</xdr:colOff>
      <xdr:row>222</xdr:row>
      <xdr:rowOff>160020</xdr:rowOff>
    </xdr:to>
    <xdr:sp macro="[0]!Ajouter_Description" textlink="">
      <xdr:nvSpPr>
        <xdr:cNvPr id="35" name="Rectangle 34">
          <a:extLst>
            <a:ext uri="{FF2B5EF4-FFF2-40B4-BE49-F238E27FC236}">
              <a16:creationId xmlns:a16="http://schemas.microsoft.com/office/drawing/2014/main" id="{753EF9D0-1513-0E20-FEF3-325BD18E05B2}"/>
            </a:ext>
          </a:extLst>
        </xdr:cNvPr>
        <xdr:cNvSpPr/>
      </xdr:nvSpPr>
      <xdr:spPr>
        <a:xfrm>
          <a:off x="198120" y="4000500"/>
          <a:ext cx="1760400" cy="2590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Description</a:t>
          </a:r>
        </a:p>
      </xdr:txBody>
    </xdr:sp>
    <xdr:clientData/>
  </xdr:twoCellAnchor>
  <xdr:twoCellAnchor>
    <xdr:from>
      <xdr:col>0</xdr:col>
      <xdr:colOff>198120</xdr:colOff>
      <xdr:row>223</xdr:row>
      <xdr:rowOff>152400</xdr:rowOff>
    </xdr:from>
    <xdr:to>
      <xdr:col>2</xdr:col>
      <xdr:colOff>373560</xdr:colOff>
      <xdr:row>225</xdr:row>
      <xdr:rowOff>15240</xdr:rowOff>
    </xdr:to>
    <xdr:sp macro="[0]!Supprimer_Description" textlink="">
      <xdr:nvSpPr>
        <xdr:cNvPr id="36" name="Rectangle 35">
          <a:extLst>
            <a:ext uri="{FF2B5EF4-FFF2-40B4-BE49-F238E27FC236}">
              <a16:creationId xmlns:a16="http://schemas.microsoft.com/office/drawing/2014/main" id="{39803C09-178B-B1C1-9638-F6F58AF1C590}"/>
            </a:ext>
          </a:extLst>
        </xdr:cNvPr>
        <xdr:cNvSpPr/>
      </xdr:nvSpPr>
      <xdr:spPr>
        <a:xfrm>
          <a:off x="198120" y="4450080"/>
          <a:ext cx="1760400" cy="25908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 Description</a:t>
          </a:r>
        </a:p>
      </xdr:txBody>
    </xdr:sp>
    <xdr:clientData/>
  </xdr:twoCellAnchor>
  <xdr:twoCellAnchor>
    <xdr:from>
      <xdr:col>0</xdr:col>
      <xdr:colOff>205740</xdr:colOff>
      <xdr:row>225</xdr:row>
      <xdr:rowOff>182880</xdr:rowOff>
    </xdr:from>
    <xdr:to>
      <xdr:col>2</xdr:col>
      <xdr:colOff>381180</xdr:colOff>
      <xdr:row>227</xdr:row>
      <xdr:rowOff>60960</xdr:rowOff>
    </xdr:to>
    <xdr:sp macro="[0]!Ajouter_FluxDonnees" textlink="">
      <xdr:nvSpPr>
        <xdr:cNvPr id="37" name="Rectangle 36">
          <a:extLst>
            <a:ext uri="{FF2B5EF4-FFF2-40B4-BE49-F238E27FC236}">
              <a16:creationId xmlns:a16="http://schemas.microsoft.com/office/drawing/2014/main" id="{9FF90FFA-CEE0-E560-1C22-93E350C2F5EC}"/>
            </a:ext>
          </a:extLst>
        </xdr:cNvPr>
        <xdr:cNvSpPr/>
      </xdr:nvSpPr>
      <xdr:spPr>
        <a:xfrm>
          <a:off x="205740" y="4876800"/>
          <a:ext cx="1760400" cy="25908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Flux de données</a:t>
          </a:r>
        </a:p>
      </xdr:txBody>
    </xdr:sp>
    <xdr:clientData/>
  </xdr:twoCellAnchor>
  <xdr:twoCellAnchor>
    <xdr:from>
      <xdr:col>0</xdr:col>
      <xdr:colOff>205740</xdr:colOff>
      <xdr:row>228</xdr:row>
      <xdr:rowOff>30480</xdr:rowOff>
    </xdr:from>
    <xdr:to>
      <xdr:col>2</xdr:col>
      <xdr:colOff>381000</xdr:colOff>
      <xdr:row>229</xdr:row>
      <xdr:rowOff>99060</xdr:rowOff>
    </xdr:to>
    <xdr:sp macro="[0]!Supprimer_FluxDonnees" textlink="">
      <xdr:nvSpPr>
        <xdr:cNvPr id="38" name="Rectangle 37">
          <a:extLst>
            <a:ext uri="{FF2B5EF4-FFF2-40B4-BE49-F238E27FC236}">
              <a16:creationId xmlns:a16="http://schemas.microsoft.com/office/drawing/2014/main" id="{DE89EB4C-7D9E-57E9-BBE3-C99F0F24A6F9}"/>
            </a:ext>
          </a:extLst>
        </xdr:cNvPr>
        <xdr:cNvSpPr/>
      </xdr:nvSpPr>
      <xdr:spPr>
        <a:xfrm>
          <a:off x="205740" y="5288280"/>
          <a:ext cx="1760220" cy="25146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 Flux de données</a:t>
          </a:r>
        </a:p>
      </xdr:txBody>
    </xdr:sp>
    <xdr:clientData/>
  </xdr:twoCellAnchor>
  <xdr:twoCellAnchor>
    <xdr:from>
      <xdr:col>5</xdr:col>
      <xdr:colOff>365760</xdr:colOff>
      <xdr:row>415</xdr:row>
      <xdr:rowOff>152400</xdr:rowOff>
    </xdr:from>
    <xdr:to>
      <xdr:col>7</xdr:col>
      <xdr:colOff>609600</xdr:colOff>
      <xdr:row>417</xdr:row>
      <xdr:rowOff>30480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85FFA62F-5134-78EC-4AB0-66F199C10DF4}"/>
            </a:ext>
          </a:extLst>
        </xdr:cNvPr>
        <xdr:cNvSpPr/>
      </xdr:nvSpPr>
      <xdr:spPr>
        <a:xfrm>
          <a:off x="4328160" y="2895600"/>
          <a:ext cx="182880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Désignation du processus</a:t>
          </a:r>
        </a:p>
      </xdr:txBody>
    </xdr:sp>
    <xdr:clientData/>
  </xdr:twoCellAnchor>
  <xdr:twoCellAnchor>
    <xdr:from>
      <xdr:col>9</xdr:col>
      <xdr:colOff>693420</xdr:colOff>
      <xdr:row>415</xdr:row>
      <xdr:rowOff>121920</xdr:rowOff>
    </xdr:from>
    <xdr:to>
      <xdr:col>11</xdr:col>
      <xdr:colOff>144780</xdr:colOff>
      <xdr:row>417</xdr:row>
      <xdr:rowOff>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AECF316-055B-73E7-7E7F-DA731A5DED61}"/>
            </a:ext>
          </a:extLst>
        </xdr:cNvPr>
        <xdr:cNvSpPr/>
      </xdr:nvSpPr>
      <xdr:spPr>
        <a:xfrm>
          <a:off x="7825740" y="2865120"/>
          <a:ext cx="103632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Confidentialité</a:t>
          </a:r>
        </a:p>
      </xdr:txBody>
    </xdr:sp>
    <xdr:clientData/>
  </xdr:twoCellAnchor>
  <xdr:twoCellAnchor>
    <xdr:from>
      <xdr:col>13</xdr:col>
      <xdr:colOff>754380</xdr:colOff>
      <xdr:row>415</xdr:row>
      <xdr:rowOff>114300</xdr:rowOff>
    </xdr:from>
    <xdr:to>
      <xdr:col>15</xdr:col>
      <xdr:colOff>83820</xdr:colOff>
      <xdr:row>417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8C553170-5E24-4EAC-99CA-E26B282EBD55}"/>
            </a:ext>
          </a:extLst>
        </xdr:cNvPr>
        <xdr:cNvSpPr/>
      </xdr:nvSpPr>
      <xdr:spPr>
        <a:xfrm>
          <a:off x="11056620" y="2857500"/>
          <a:ext cx="91440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Disponibilité</a:t>
          </a:r>
        </a:p>
      </xdr:txBody>
    </xdr:sp>
    <xdr:clientData/>
  </xdr:twoCellAnchor>
  <xdr:twoCellAnchor>
    <xdr:from>
      <xdr:col>11</xdr:col>
      <xdr:colOff>739140</xdr:colOff>
      <xdr:row>415</xdr:row>
      <xdr:rowOff>121920</xdr:rowOff>
    </xdr:from>
    <xdr:to>
      <xdr:col>13</xdr:col>
      <xdr:colOff>68580</xdr:colOff>
      <xdr:row>416</xdr:row>
      <xdr:rowOff>175260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A46B2F97-18E9-4AF4-AFC7-ADEAC464881B}"/>
            </a:ext>
          </a:extLst>
        </xdr:cNvPr>
        <xdr:cNvSpPr/>
      </xdr:nvSpPr>
      <xdr:spPr>
        <a:xfrm>
          <a:off x="9456420" y="2865120"/>
          <a:ext cx="91440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Intégrité</a:t>
          </a:r>
        </a:p>
      </xdr:txBody>
    </xdr:sp>
    <xdr:clientData/>
  </xdr:twoCellAnchor>
  <xdr:twoCellAnchor>
    <xdr:from>
      <xdr:col>17</xdr:col>
      <xdr:colOff>815340</xdr:colOff>
      <xdr:row>415</xdr:row>
      <xdr:rowOff>121920</xdr:rowOff>
    </xdr:from>
    <xdr:to>
      <xdr:col>19</xdr:col>
      <xdr:colOff>60960</xdr:colOff>
      <xdr:row>417</xdr:row>
      <xdr:rowOff>7620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783F4417-CCB3-4AFB-82B8-E0306D4C0081}"/>
            </a:ext>
          </a:extLst>
        </xdr:cNvPr>
        <xdr:cNvSpPr/>
      </xdr:nvSpPr>
      <xdr:spPr>
        <a:xfrm>
          <a:off x="14698980" y="2865120"/>
          <a:ext cx="97536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Classification</a:t>
          </a:r>
        </a:p>
      </xdr:txBody>
    </xdr:sp>
    <xdr:clientData/>
  </xdr:twoCellAnchor>
  <xdr:twoCellAnchor>
    <xdr:from>
      <xdr:col>16</xdr:col>
      <xdr:colOff>68580</xdr:colOff>
      <xdr:row>415</xdr:row>
      <xdr:rowOff>129540</xdr:rowOff>
    </xdr:from>
    <xdr:to>
      <xdr:col>16</xdr:col>
      <xdr:colOff>883920</xdr:colOff>
      <xdr:row>417</xdr:row>
      <xdr:rowOff>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827CBA90-1762-4266-A017-610CF74A2517}"/>
            </a:ext>
          </a:extLst>
        </xdr:cNvPr>
        <xdr:cNvSpPr/>
      </xdr:nvSpPr>
      <xdr:spPr>
        <a:xfrm>
          <a:off x="12969240" y="2872740"/>
          <a:ext cx="81534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Criticité</a:t>
          </a:r>
        </a:p>
      </xdr:txBody>
    </xdr:sp>
    <xdr:clientData/>
  </xdr:twoCellAnchor>
  <xdr:twoCellAnchor>
    <xdr:from>
      <xdr:col>1</xdr:col>
      <xdr:colOff>381000</xdr:colOff>
      <xdr:row>420</xdr:row>
      <xdr:rowOff>175260</xdr:rowOff>
    </xdr:from>
    <xdr:to>
      <xdr:col>3</xdr:col>
      <xdr:colOff>327660</xdr:colOff>
      <xdr:row>422</xdr:row>
      <xdr:rowOff>83820</xdr:rowOff>
    </xdr:to>
    <xdr:sp macro="[0]!Ajouter_Confidentialite" textlink="">
      <xdr:nvSpPr>
        <xdr:cNvPr id="52" name="Rectangle : coins arrondis 51">
          <a:extLst>
            <a:ext uri="{FF2B5EF4-FFF2-40B4-BE49-F238E27FC236}">
              <a16:creationId xmlns:a16="http://schemas.microsoft.com/office/drawing/2014/main" id="{EFF5BE18-5A0C-2AA3-A12F-9FA50F7AF0B1}"/>
            </a:ext>
          </a:extLst>
        </xdr:cNvPr>
        <xdr:cNvSpPr/>
      </xdr:nvSpPr>
      <xdr:spPr>
        <a:xfrm>
          <a:off x="1173480" y="3832860"/>
          <a:ext cx="1531620" cy="2743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Confidentialité</a:t>
          </a:r>
        </a:p>
      </xdr:txBody>
    </xdr:sp>
    <xdr:clientData/>
  </xdr:twoCellAnchor>
  <xdr:twoCellAnchor>
    <xdr:from>
      <xdr:col>1</xdr:col>
      <xdr:colOff>388620</xdr:colOff>
      <xdr:row>423</xdr:row>
      <xdr:rowOff>68580</xdr:rowOff>
    </xdr:from>
    <xdr:to>
      <xdr:col>3</xdr:col>
      <xdr:colOff>335280</xdr:colOff>
      <xdr:row>424</xdr:row>
      <xdr:rowOff>160020</xdr:rowOff>
    </xdr:to>
    <xdr:sp macro="[0]!Ajouter_Integrite" textlink="">
      <xdr:nvSpPr>
        <xdr:cNvPr id="53" name="Rectangle : coins arrondis 52">
          <a:extLst>
            <a:ext uri="{FF2B5EF4-FFF2-40B4-BE49-F238E27FC236}">
              <a16:creationId xmlns:a16="http://schemas.microsoft.com/office/drawing/2014/main" id="{3E4EFA6C-6B58-4EFB-9D57-03A652711F1A}"/>
            </a:ext>
          </a:extLst>
        </xdr:cNvPr>
        <xdr:cNvSpPr/>
      </xdr:nvSpPr>
      <xdr:spPr>
        <a:xfrm>
          <a:off x="1181100" y="4274820"/>
          <a:ext cx="1531620" cy="2743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Integrité</a:t>
          </a:r>
        </a:p>
      </xdr:txBody>
    </xdr:sp>
    <xdr:clientData/>
  </xdr:twoCellAnchor>
  <xdr:twoCellAnchor>
    <xdr:from>
      <xdr:col>1</xdr:col>
      <xdr:colOff>396240</xdr:colOff>
      <xdr:row>425</xdr:row>
      <xdr:rowOff>167640</xdr:rowOff>
    </xdr:from>
    <xdr:to>
      <xdr:col>3</xdr:col>
      <xdr:colOff>342900</xdr:colOff>
      <xdr:row>427</xdr:row>
      <xdr:rowOff>76200</xdr:rowOff>
    </xdr:to>
    <xdr:sp macro="[0]!Ajouter_Disponibilite" textlink="">
      <xdr:nvSpPr>
        <xdr:cNvPr id="54" name="Rectangle : coins arrondis 53">
          <a:extLst>
            <a:ext uri="{FF2B5EF4-FFF2-40B4-BE49-F238E27FC236}">
              <a16:creationId xmlns:a16="http://schemas.microsoft.com/office/drawing/2014/main" id="{72445E77-CED2-4EDC-9F57-F36BB91F7377}"/>
            </a:ext>
          </a:extLst>
        </xdr:cNvPr>
        <xdr:cNvSpPr/>
      </xdr:nvSpPr>
      <xdr:spPr>
        <a:xfrm>
          <a:off x="1188720" y="4739640"/>
          <a:ext cx="1531620" cy="2743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Disponibilité</a:t>
          </a:r>
        </a:p>
      </xdr:txBody>
    </xdr:sp>
    <xdr:clientData/>
  </xdr:twoCellAnchor>
  <xdr:twoCellAnchor>
    <xdr:from>
      <xdr:col>1</xdr:col>
      <xdr:colOff>403860</xdr:colOff>
      <xdr:row>428</xdr:row>
      <xdr:rowOff>76200</xdr:rowOff>
    </xdr:from>
    <xdr:to>
      <xdr:col>3</xdr:col>
      <xdr:colOff>350520</xdr:colOff>
      <xdr:row>429</xdr:row>
      <xdr:rowOff>167640</xdr:rowOff>
    </xdr:to>
    <xdr:sp macro="[0]!Supprimer_Processus" textlink="">
      <xdr:nvSpPr>
        <xdr:cNvPr id="55" name="Rectangle : coins arrondis 54">
          <a:extLst>
            <a:ext uri="{FF2B5EF4-FFF2-40B4-BE49-F238E27FC236}">
              <a16:creationId xmlns:a16="http://schemas.microsoft.com/office/drawing/2014/main" id="{C4CB7FE8-97FB-4B24-89E2-6DBE503681C1}"/>
            </a:ext>
          </a:extLst>
        </xdr:cNvPr>
        <xdr:cNvSpPr/>
      </xdr:nvSpPr>
      <xdr:spPr>
        <a:xfrm>
          <a:off x="1196340" y="5196840"/>
          <a:ext cx="1531620" cy="27432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0</xdr:col>
      <xdr:colOff>784860</xdr:colOff>
      <xdr:row>615</xdr:row>
      <xdr:rowOff>167640</xdr:rowOff>
    </xdr:from>
    <xdr:to>
      <xdr:col>3</xdr:col>
      <xdr:colOff>0</xdr:colOff>
      <xdr:row>617</xdr:row>
      <xdr:rowOff>53340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61EBF4FD-5153-E59E-20A3-B8DF4716D410}"/>
            </a:ext>
          </a:extLst>
        </xdr:cNvPr>
        <xdr:cNvSpPr/>
      </xdr:nvSpPr>
      <xdr:spPr>
        <a:xfrm>
          <a:off x="784860" y="2910840"/>
          <a:ext cx="159258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Niveau</a:t>
          </a:r>
        </a:p>
      </xdr:txBody>
    </xdr:sp>
    <xdr:clientData/>
  </xdr:twoCellAnchor>
  <xdr:twoCellAnchor>
    <xdr:from>
      <xdr:col>3</xdr:col>
      <xdr:colOff>762000</xdr:colOff>
      <xdr:row>615</xdr:row>
      <xdr:rowOff>152400</xdr:rowOff>
    </xdr:from>
    <xdr:to>
      <xdr:col>15</xdr:col>
      <xdr:colOff>967740</xdr:colOff>
      <xdr:row>617</xdr:row>
      <xdr:rowOff>15240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D2D86AC6-0E9D-ADC2-1DD1-F828843A774C}"/>
            </a:ext>
          </a:extLst>
        </xdr:cNvPr>
        <xdr:cNvSpPr/>
      </xdr:nvSpPr>
      <xdr:spPr>
        <a:xfrm>
          <a:off x="3139440" y="2895600"/>
          <a:ext cx="971550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Description du niveau de confidentialité</a:t>
          </a:r>
        </a:p>
      </xdr:txBody>
    </xdr:sp>
    <xdr:clientData/>
  </xdr:twoCellAnchor>
  <xdr:twoCellAnchor>
    <xdr:from>
      <xdr:col>1</xdr:col>
      <xdr:colOff>0</xdr:colOff>
      <xdr:row>631</xdr:row>
      <xdr:rowOff>0</xdr:rowOff>
    </xdr:from>
    <xdr:to>
      <xdr:col>3</xdr:col>
      <xdr:colOff>7620</xdr:colOff>
      <xdr:row>632</xdr:row>
      <xdr:rowOff>68580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E3638C2E-31F1-4AB9-A0D7-C4923AA00A68}"/>
            </a:ext>
          </a:extLst>
        </xdr:cNvPr>
        <xdr:cNvSpPr/>
      </xdr:nvSpPr>
      <xdr:spPr>
        <a:xfrm>
          <a:off x="792480" y="5669280"/>
          <a:ext cx="159258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Niveau</a:t>
          </a:r>
        </a:p>
      </xdr:txBody>
    </xdr:sp>
    <xdr:clientData/>
  </xdr:twoCellAnchor>
  <xdr:twoCellAnchor>
    <xdr:from>
      <xdr:col>4</xdr:col>
      <xdr:colOff>0</xdr:colOff>
      <xdr:row>631</xdr:row>
      <xdr:rowOff>0</xdr:rowOff>
    </xdr:from>
    <xdr:to>
      <xdr:col>15</xdr:col>
      <xdr:colOff>998220</xdr:colOff>
      <xdr:row>632</xdr:row>
      <xdr:rowOff>45720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10AD43DF-BFDC-484C-BD3D-DCE5598D1C6C}"/>
            </a:ext>
          </a:extLst>
        </xdr:cNvPr>
        <xdr:cNvSpPr/>
      </xdr:nvSpPr>
      <xdr:spPr>
        <a:xfrm>
          <a:off x="3169920" y="5669280"/>
          <a:ext cx="971550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Description du niveau  d'intégrité</a:t>
          </a:r>
        </a:p>
      </xdr:txBody>
    </xdr:sp>
    <xdr:clientData/>
  </xdr:twoCellAnchor>
  <xdr:twoCellAnchor>
    <xdr:from>
      <xdr:col>0</xdr:col>
      <xdr:colOff>769620</xdr:colOff>
      <xdr:row>646</xdr:row>
      <xdr:rowOff>175260</xdr:rowOff>
    </xdr:from>
    <xdr:to>
      <xdr:col>2</xdr:col>
      <xdr:colOff>777240</xdr:colOff>
      <xdr:row>648</xdr:row>
      <xdr:rowOff>60960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662D786-46C0-4C25-BC37-E72FD406009E}"/>
            </a:ext>
          </a:extLst>
        </xdr:cNvPr>
        <xdr:cNvSpPr/>
      </xdr:nvSpPr>
      <xdr:spPr>
        <a:xfrm>
          <a:off x="769620" y="8587740"/>
          <a:ext cx="159258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Niveau</a:t>
          </a:r>
        </a:p>
      </xdr:txBody>
    </xdr:sp>
    <xdr:clientData/>
  </xdr:twoCellAnchor>
  <xdr:twoCellAnchor>
    <xdr:from>
      <xdr:col>4</xdr:col>
      <xdr:colOff>0</xdr:colOff>
      <xdr:row>647</xdr:row>
      <xdr:rowOff>0</xdr:rowOff>
    </xdr:from>
    <xdr:to>
      <xdr:col>15</xdr:col>
      <xdr:colOff>998220</xdr:colOff>
      <xdr:row>648</xdr:row>
      <xdr:rowOff>45720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2699AB24-C6C1-4025-B942-483C99F10A0B}"/>
            </a:ext>
          </a:extLst>
        </xdr:cNvPr>
        <xdr:cNvSpPr/>
      </xdr:nvSpPr>
      <xdr:spPr>
        <a:xfrm>
          <a:off x="3169920" y="8595360"/>
          <a:ext cx="971550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Description du niveau de disponibilité</a:t>
          </a:r>
        </a:p>
      </xdr:txBody>
    </xdr:sp>
    <xdr:clientData/>
  </xdr:twoCellAnchor>
  <xdr:twoCellAnchor>
    <xdr:from>
      <xdr:col>1</xdr:col>
      <xdr:colOff>22860</xdr:colOff>
      <xdr:row>613</xdr:row>
      <xdr:rowOff>76200</xdr:rowOff>
    </xdr:from>
    <xdr:to>
      <xdr:col>2</xdr:col>
      <xdr:colOff>784860</xdr:colOff>
      <xdr:row>615</xdr:row>
      <xdr:rowOff>7620</xdr:rowOff>
    </xdr:to>
    <xdr:sp macro="" textlink="">
      <xdr:nvSpPr>
        <xdr:cNvPr id="62" name="Rectangle : coins arrondis 61">
          <a:extLst>
            <a:ext uri="{FF2B5EF4-FFF2-40B4-BE49-F238E27FC236}">
              <a16:creationId xmlns:a16="http://schemas.microsoft.com/office/drawing/2014/main" id="{C901F308-C304-BD19-D889-0AA56FB1AF1D}"/>
            </a:ext>
          </a:extLst>
        </xdr:cNvPr>
        <xdr:cNvSpPr/>
      </xdr:nvSpPr>
      <xdr:spPr>
        <a:xfrm>
          <a:off x="815340" y="2453640"/>
          <a:ext cx="1554480" cy="29718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Confidentialité</a:t>
          </a:r>
        </a:p>
      </xdr:txBody>
    </xdr:sp>
    <xdr:clientData/>
  </xdr:twoCellAnchor>
  <xdr:twoCellAnchor>
    <xdr:from>
      <xdr:col>1</xdr:col>
      <xdr:colOff>22860</xdr:colOff>
      <xdr:row>628</xdr:row>
      <xdr:rowOff>99060</xdr:rowOff>
    </xdr:from>
    <xdr:to>
      <xdr:col>2</xdr:col>
      <xdr:colOff>784860</xdr:colOff>
      <xdr:row>630</xdr:row>
      <xdr:rowOff>30480</xdr:rowOff>
    </xdr:to>
    <xdr:sp macro="" textlink="">
      <xdr:nvSpPr>
        <xdr:cNvPr id="63" name="Rectangle : coins arrondis 62">
          <a:extLst>
            <a:ext uri="{FF2B5EF4-FFF2-40B4-BE49-F238E27FC236}">
              <a16:creationId xmlns:a16="http://schemas.microsoft.com/office/drawing/2014/main" id="{5498324D-064C-4ECC-8588-D652BC4ED267}"/>
            </a:ext>
          </a:extLst>
        </xdr:cNvPr>
        <xdr:cNvSpPr/>
      </xdr:nvSpPr>
      <xdr:spPr>
        <a:xfrm>
          <a:off x="815340" y="5219700"/>
          <a:ext cx="1554480" cy="29718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Intégrité</a:t>
          </a:r>
        </a:p>
      </xdr:txBody>
    </xdr:sp>
    <xdr:clientData/>
  </xdr:twoCellAnchor>
  <xdr:twoCellAnchor>
    <xdr:from>
      <xdr:col>1</xdr:col>
      <xdr:colOff>0</xdr:colOff>
      <xdr:row>644</xdr:row>
      <xdr:rowOff>91440</xdr:rowOff>
    </xdr:from>
    <xdr:to>
      <xdr:col>3</xdr:col>
      <xdr:colOff>7620</xdr:colOff>
      <xdr:row>646</xdr:row>
      <xdr:rowOff>22860</xdr:rowOff>
    </xdr:to>
    <xdr:sp macro="" textlink="">
      <xdr:nvSpPr>
        <xdr:cNvPr id="3072" name="Rectangle : coins arrondis 3071">
          <a:extLst>
            <a:ext uri="{FF2B5EF4-FFF2-40B4-BE49-F238E27FC236}">
              <a16:creationId xmlns:a16="http://schemas.microsoft.com/office/drawing/2014/main" id="{F5F12FD9-C758-435E-974D-F1DBD94F5BFD}"/>
            </a:ext>
          </a:extLst>
        </xdr:cNvPr>
        <xdr:cNvSpPr/>
      </xdr:nvSpPr>
      <xdr:spPr>
        <a:xfrm>
          <a:off x="792480" y="8138160"/>
          <a:ext cx="1592580" cy="29718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Disponibilité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434340</xdr:colOff>
      <xdr:row>5</xdr:row>
      <xdr:rowOff>83820</xdr:rowOff>
    </xdr:from>
    <xdr:to>
      <xdr:col>16</xdr:col>
      <xdr:colOff>617220</xdr:colOff>
      <xdr:row>8</xdr:row>
      <xdr:rowOff>68580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BC4F873-FA11-5C37-A13E-DA95767BDB70}"/>
            </a:ext>
          </a:extLst>
        </xdr:cNvPr>
        <xdr:cNvSpPr/>
      </xdr:nvSpPr>
      <xdr:spPr>
        <a:xfrm>
          <a:off x="2019300" y="998220"/>
          <a:ext cx="11277600" cy="53340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716280</xdr:colOff>
      <xdr:row>6</xdr:row>
      <xdr:rowOff>0</xdr:rowOff>
    </xdr:from>
    <xdr:to>
      <xdr:col>4</xdr:col>
      <xdr:colOff>777240</xdr:colOff>
      <xdr:row>7</xdr:row>
      <xdr:rowOff>152400</xdr:rowOff>
    </xdr:to>
    <xdr:sp macro="[0]!Afficher_PerimetreGeographique" textlink="">
      <xdr:nvSpPr>
        <xdr:cNvPr id="3" name="Périmètre géographique">
          <a:extLst>
            <a:ext uri="{FF2B5EF4-FFF2-40B4-BE49-F238E27FC236}">
              <a16:creationId xmlns:a16="http://schemas.microsoft.com/office/drawing/2014/main" id="{749BF5A5-E9A8-8108-8A36-8C86F2AE720B}"/>
            </a:ext>
          </a:extLst>
        </xdr:cNvPr>
        <xdr:cNvSpPr/>
      </xdr:nvSpPr>
      <xdr:spPr>
        <a:xfrm>
          <a:off x="2301240" y="1097280"/>
          <a:ext cx="1645920" cy="33528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Périmètre géographique</a:t>
          </a:r>
        </a:p>
      </xdr:txBody>
    </xdr:sp>
    <xdr:clientData/>
  </xdr:twoCellAnchor>
  <xdr:twoCellAnchor>
    <xdr:from>
      <xdr:col>5</xdr:col>
      <xdr:colOff>137160</xdr:colOff>
      <xdr:row>5</xdr:row>
      <xdr:rowOff>175260</xdr:rowOff>
    </xdr:from>
    <xdr:to>
      <xdr:col>6</xdr:col>
      <xdr:colOff>533400</xdr:colOff>
      <xdr:row>7</xdr:row>
      <xdr:rowOff>144780</xdr:rowOff>
    </xdr:to>
    <xdr:sp macro="[0]!Afficher_Applications" textlink="">
      <xdr:nvSpPr>
        <xdr:cNvPr id="4" name="Applications">
          <a:extLst>
            <a:ext uri="{FF2B5EF4-FFF2-40B4-BE49-F238E27FC236}">
              <a16:creationId xmlns:a16="http://schemas.microsoft.com/office/drawing/2014/main" id="{59926645-F531-4B6E-BB93-044BEE1E0191}"/>
            </a:ext>
          </a:extLst>
        </xdr:cNvPr>
        <xdr:cNvSpPr/>
      </xdr:nvSpPr>
      <xdr:spPr>
        <a:xfrm>
          <a:off x="4099560" y="1089660"/>
          <a:ext cx="1188720" cy="335280"/>
        </a:xfrm>
        <a:prstGeom prst="roundRect">
          <a:avLst/>
        </a:prstGeom>
        <a:gradFill flip="none" rotWithShape="1">
          <a:gsLst>
            <a:gs pos="0">
              <a:srgbClr val="FED64E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Applications</a:t>
          </a:r>
        </a:p>
      </xdr:txBody>
    </xdr:sp>
    <xdr:clientData/>
  </xdr:twoCellAnchor>
  <xdr:twoCellAnchor>
    <xdr:from>
      <xdr:col>6</xdr:col>
      <xdr:colOff>662940</xdr:colOff>
      <xdr:row>5</xdr:row>
      <xdr:rowOff>175260</xdr:rowOff>
    </xdr:from>
    <xdr:to>
      <xdr:col>9</xdr:col>
      <xdr:colOff>411480</xdr:colOff>
      <xdr:row>7</xdr:row>
      <xdr:rowOff>144780</xdr:rowOff>
    </xdr:to>
    <xdr:sp macro="[0]!Afficher_InfrastructureRS" textlink="">
      <xdr:nvSpPr>
        <xdr:cNvPr id="5" name="Infrastructure RS">
          <a:extLst>
            <a:ext uri="{FF2B5EF4-FFF2-40B4-BE49-F238E27FC236}">
              <a16:creationId xmlns:a16="http://schemas.microsoft.com/office/drawing/2014/main" id="{7AC1E049-F550-4220-BAA3-7828875AE2F5}"/>
            </a:ext>
          </a:extLst>
        </xdr:cNvPr>
        <xdr:cNvSpPr/>
      </xdr:nvSpPr>
      <xdr:spPr>
        <a:xfrm>
          <a:off x="5417820" y="1089660"/>
          <a:ext cx="2125980" cy="33528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Infrastructure Réseau et Sécurité</a:t>
          </a:r>
        </a:p>
      </xdr:txBody>
    </xdr:sp>
    <xdr:clientData/>
  </xdr:twoCellAnchor>
  <xdr:twoCellAnchor>
    <xdr:from>
      <xdr:col>9</xdr:col>
      <xdr:colOff>541020</xdr:colOff>
      <xdr:row>5</xdr:row>
      <xdr:rowOff>167640</xdr:rowOff>
    </xdr:from>
    <xdr:to>
      <xdr:col>11</xdr:col>
      <xdr:colOff>144780</xdr:colOff>
      <xdr:row>7</xdr:row>
      <xdr:rowOff>137160</xdr:rowOff>
    </xdr:to>
    <xdr:sp macro="[0]!Afficher_PostesDeTravail" textlink="">
      <xdr:nvSpPr>
        <xdr:cNvPr id="6" name="Postes de Travail">
          <a:extLst>
            <a:ext uri="{FF2B5EF4-FFF2-40B4-BE49-F238E27FC236}">
              <a16:creationId xmlns:a16="http://schemas.microsoft.com/office/drawing/2014/main" id="{43637323-0F0D-4F9E-AD11-27E86D8AD2BF}"/>
            </a:ext>
          </a:extLst>
        </xdr:cNvPr>
        <xdr:cNvSpPr/>
      </xdr:nvSpPr>
      <xdr:spPr>
        <a:xfrm>
          <a:off x="7673340" y="1082040"/>
          <a:ext cx="1188720" cy="33528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Postes de Travail</a:t>
          </a:r>
        </a:p>
      </xdr:txBody>
    </xdr:sp>
    <xdr:clientData/>
  </xdr:twoCellAnchor>
  <xdr:twoCellAnchor>
    <xdr:from>
      <xdr:col>11</xdr:col>
      <xdr:colOff>236220</xdr:colOff>
      <xdr:row>5</xdr:row>
      <xdr:rowOff>160020</xdr:rowOff>
    </xdr:from>
    <xdr:to>
      <xdr:col>12</xdr:col>
      <xdr:colOff>632460</xdr:colOff>
      <xdr:row>7</xdr:row>
      <xdr:rowOff>129540</xdr:rowOff>
    </xdr:to>
    <xdr:sp macro="[0]!Afficher_Serveurs" textlink="">
      <xdr:nvSpPr>
        <xdr:cNvPr id="7" name="Serveurs">
          <a:extLst>
            <a:ext uri="{FF2B5EF4-FFF2-40B4-BE49-F238E27FC236}">
              <a16:creationId xmlns:a16="http://schemas.microsoft.com/office/drawing/2014/main" id="{DAFA19D1-7F54-4579-8FF8-AC561193D311}"/>
            </a:ext>
          </a:extLst>
        </xdr:cNvPr>
        <xdr:cNvSpPr/>
      </xdr:nvSpPr>
      <xdr:spPr>
        <a:xfrm>
          <a:off x="8953500" y="1074420"/>
          <a:ext cx="1188720" cy="33528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Serveurs</a:t>
          </a:r>
        </a:p>
      </xdr:txBody>
    </xdr:sp>
    <xdr:clientData/>
  </xdr:twoCellAnchor>
  <xdr:twoCellAnchor>
    <xdr:from>
      <xdr:col>12</xdr:col>
      <xdr:colOff>739140</xdr:colOff>
      <xdr:row>5</xdr:row>
      <xdr:rowOff>160020</xdr:rowOff>
    </xdr:from>
    <xdr:to>
      <xdr:col>16</xdr:col>
      <xdr:colOff>502920</xdr:colOff>
      <xdr:row>7</xdr:row>
      <xdr:rowOff>129540</xdr:rowOff>
    </xdr:to>
    <xdr:sp macro="[0]!Afficher_ArchitectureReseau" textlink="">
      <xdr:nvSpPr>
        <xdr:cNvPr id="8" name="architecture du réseau">
          <a:extLst>
            <a:ext uri="{FF2B5EF4-FFF2-40B4-BE49-F238E27FC236}">
              <a16:creationId xmlns:a16="http://schemas.microsoft.com/office/drawing/2014/main" id="{70765ABB-6C98-41F5-B642-3BF92B1AB4B9}"/>
            </a:ext>
          </a:extLst>
        </xdr:cNvPr>
        <xdr:cNvSpPr/>
      </xdr:nvSpPr>
      <xdr:spPr>
        <a:xfrm>
          <a:off x="10248900" y="1074420"/>
          <a:ext cx="2933700" cy="33528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Schéma synoptique de l’architecture du réseau</a:t>
          </a:r>
        </a:p>
      </xdr:txBody>
    </xdr:sp>
    <xdr:clientData/>
  </xdr:twoCellAnchor>
  <xdr:twoCellAnchor>
    <xdr:from>
      <xdr:col>0</xdr:col>
      <xdr:colOff>381000</xdr:colOff>
      <xdr:row>0</xdr:row>
      <xdr:rowOff>144780</xdr:rowOff>
    </xdr:from>
    <xdr:to>
      <xdr:col>4</xdr:col>
      <xdr:colOff>701040</xdr:colOff>
      <xdr:row>3</xdr:row>
      <xdr:rowOff>68580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B85BC211-5C74-33CB-7FDF-E978283F9218}"/>
            </a:ext>
          </a:extLst>
        </xdr:cNvPr>
        <xdr:cNvSpPr/>
      </xdr:nvSpPr>
      <xdr:spPr>
        <a:xfrm>
          <a:off x="381000" y="144780"/>
          <a:ext cx="3489960" cy="47244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Champ d'audit</a:t>
          </a:r>
        </a:p>
      </xdr:txBody>
    </xdr:sp>
    <xdr:clientData/>
  </xdr:twoCellAnchor>
  <xdr:twoCellAnchor>
    <xdr:from>
      <xdr:col>1</xdr:col>
      <xdr:colOff>784860</xdr:colOff>
      <xdr:row>16</xdr:row>
      <xdr:rowOff>167640</xdr:rowOff>
    </xdr:from>
    <xdr:to>
      <xdr:col>3</xdr:col>
      <xdr:colOff>0</xdr:colOff>
      <xdr:row>17</xdr:row>
      <xdr:rowOff>175260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1BD1F4CB-55EE-F792-AC8C-66D036986289}"/>
            </a:ext>
          </a:extLst>
        </xdr:cNvPr>
        <xdr:cNvSpPr/>
      </xdr:nvSpPr>
      <xdr:spPr>
        <a:xfrm>
          <a:off x="1577340" y="3093720"/>
          <a:ext cx="800100" cy="1905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N°</a:t>
          </a:r>
        </a:p>
      </xdr:txBody>
    </xdr:sp>
    <xdr:clientData/>
  </xdr:twoCellAnchor>
  <xdr:twoCellAnchor>
    <xdr:from>
      <xdr:col>4</xdr:col>
      <xdr:colOff>0</xdr:colOff>
      <xdr:row>16</xdr:row>
      <xdr:rowOff>114300</xdr:rowOff>
    </xdr:from>
    <xdr:to>
      <xdr:col>7</xdr:col>
      <xdr:colOff>45720</xdr:colOff>
      <xdr:row>17</xdr:row>
      <xdr:rowOff>175260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A3A4B40A-99C0-4446-BADF-5EFB301D9FC2}"/>
            </a:ext>
          </a:extLst>
        </xdr:cNvPr>
        <xdr:cNvSpPr/>
      </xdr:nvSpPr>
      <xdr:spPr>
        <a:xfrm>
          <a:off x="3169920" y="3040380"/>
          <a:ext cx="242316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Structure</a:t>
          </a:r>
        </a:p>
      </xdr:txBody>
    </xdr:sp>
    <xdr:clientData/>
  </xdr:twoCellAnchor>
  <xdr:twoCellAnchor>
    <xdr:from>
      <xdr:col>8</xdr:col>
      <xdr:colOff>7620</xdr:colOff>
      <xdr:row>16</xdr:row>
      <xdr:rowOff>129540</xdr:rowOff>
    </xdr:from>
    <xdr:to>
      <xdr:col>11</xdr:col>
      <xdr:colOff>15240</xdr:colOff>
      <xdr:row>18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69ADA6C5-DE9D-49F1-AD0C-49710C105684}"/>
            </a:ext>
          </a:extLst>
        </xdr:cNvPr>
        <xdr:cNvSpPr/>
      </xdr:nvSpPr>
      <xdr:spPr>
        <a:xfrm>
          <a:off x="6347460" y="3055620"/>
          <a:ext cx="238506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Lieu d’implantation</a:t>
          </a:r>
        </a:p>
      </xdr:txBody>
    </xdr:sp>
    <xdr:clientData/>
  </xdr:twoCellAnchor>
  <xdr:twoCellAnchor>
    <xdr:from>
      <xdr:col>12</xdr:col>
      <xdr:colOff>99060</xdr:colOff>
      <xdr:row>16</xdr:row>
      <xdr:rowOff>91440</xdr:rowOff>
    </xdr:from>
    <xdr:to>
      <xdr:col>14</xdr:col>
      <xdr:colOff>579120</xdr:colOff>
      <xdr:row>18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F85A2348-B5B7-4E59-B900-FEA2A0E735C5}"/>
            </a:ext>
          </a:extLst>
        </xdr:cNvPr>
        <xdr:cNvSpPr/>
      </xdr:nvSpPr>
      <xdr:spPr>
        <a:xfrm>
          <a:off x="9608820" y="3017520"/>
          <a:ext cx="2065020" cy="2743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Impact sur les opérations (score)</a:t>
          </a:r>
        </a:p>
      </xdr:txBody>
    </xdr:sp>
    <xdr:clientData/>
  </xdr:twoCellAnchor>
  <xdr:twoCellAnchor>
    <xdr:from>
      <xdr:col>15</xdr:col>
      <xdr:colOff>335280</xdr:colOff>
      <xdr:row>16</xdr:row>
      <xdr:rowOff>129540</xdr:rowOff>
    </xdr:from>
    <xdr:to>
      <xdr:col>17</xdr:col>
      <xdr:colOff>426720</xdr:colOff>
      <xdr:row>18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C37B88DD-BDF3-40E3-AE3A-0406D8945AA9}"/>
            </a:ext>
          </a:extLst>
        </xdr:cNvPr>
        <xdr:cNvSpPr/>
      </xdr:nvSpPr>
      <xdr:spPr>
        <a:xfrm>
          <a:off x="12222480" y="3055620"/>
          <a:ext cx="167640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Données sensibles (score)</a:t>
          </a:r>
        </a:p>
      </xdr:txBody>
    </xdr:sp>
    <xdr:clientData/>
  </xdr:twoCellAnchor>
  <xdr:twoCellAnchor>
    <xdr:from>
      <xdr:col>18</xdr:col>
      <xdr:colOff>22860</xdr:colOff>
      <xdr:row>16</xdr:row>
      <xdr:rowOff>121920</xdr:rowOff>
    </xdr:from>
    <xdr:to>
      <xdr:col>20</xdr:col>
      <xdr:colOff>746760</xdr:colOff>
      <xdr:row>17</xdr:row>
      <xdr:rowOff>175260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2225F83B-6778-4E59-B714-319BDD8CA034}"/>
            </a:ext>
          </a:extLst>
        </xdr:cNvPr>
        <xdr:cNvSpPr/>
      </xdr:nvSpPr>
      <xdr:spPr>
        <a:xfrm>
          <a:off x="14287500" y="3048000"/>
          <a:ext cx="230886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Complexité infrastructure (score)</a:t>
          </a:r>
        </a:p>
      </xdr:txBody>
    </xdr:sp>
    <xdr:clientData/>
  </xdr:twoCellAnchor>
  <xdr:twoCellAnchor>
    <xdr:from>
      <xdr:col>21</xdr:col>
      <xdr:colOff>731520</xdr:colOff>
      <xdr:row>16</xdr:row>
      <xdr:rowOff>83820</xdr:rowOff>
    </xdr:from>
    <xdr:to>
      <xdr:col>23</xdr:col>
      <xdr:colOff>99060</xdr:colOff>
      <xdr:row>17</xdr:row>
      <xdr:rowOff>175260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E2516F1-E430-4499-86B3-6CFEF067CA19}"/>
            </a:ext>
          </a:extLst>
        </xdr:cNvPr>
        <xdr:cNvSpPr/>
      </xdr:nvSpPr>
      <xdr:spPr>
        <a:xfrm>
          <a:off x="17373600" y="3009900"/>
          <a:ext cx="952500" cy="2743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Score total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3</xdr:col>
      <xdr:colOff>381000</xdr:colOff>
      <xdr:row>13</xdr:row>
      <xdr:rowOff>99060</xdr:rowOff>
    </xdr:to>
    <xdr:sp macro="[0]!Ajouter_PerimetreGeographique_ChampAudit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37594C3A-BFAF-BCB7-6B6F-9A623C31CCF2}"/>
            </a:ext>
          </a:extLst>
        </xdr:cNvPr>
        <xdr:cNvSpPr/>
      </xdr:nvSpPr>
      <xdr:spPr>
        <a:xfrm>
          <a:off x="1584960" y="2194560"/>
          <a:ext cx="1173480" cy="2819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3</xdr:col>
      <xdr:colOff>472440</xdr:colOff>
      <xdr:row>12</xdr:row>
      <xdr:rowOff>0</xdr:rowOff>
    </xdr:from>
    <xdr:to>
      <xdr:col>5</xdr:col>
      <xdr:colOff>0</xdr:colOff>
      <xdr:row>13</xdr:row>
      <xdr:rowOff>91440</xdr:rowOff>
    </xdr:to>
    <xdr:sp macro="[0]!Supprimer_PerimetreGeographique_ChampAudit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7351C89A-ABAE-DAA8-9198-E9A497979476}"/>
            </a:ext>
          </a:extLst>
        </xdr:cNvPr>
        <xdr:cNvSpPr/>
      </xdr:nvSpPr>
      <xdr:spPr>
        <a:xfrm>
          <a:off x="2849880" y="2194560"/>
          <a:ext cx="1112520" cy="27432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2</xdr:col>
      <xdr:colOff>716280</xdr:colOff>
      <xdr:row>214</xdr:row>
      <xdr:rowOff>114300</xdr:rowOff>
    </xdr:from>
    <xdr:to>
      <xdr:col>5</xdr:col>
      <xdr:colOff>99060</xdr:colOff>
      <xdr:row>216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24C911E-BBBF-EB1A-292B-9314BF9730A5}"/>
            </a:ext>
          </a:extLst>
        </xdr:cNvPr>
        <xdr:cNvSpPr/>
      </xdr:nvSpPr>
      <xdr:spPr>
        <a:xfrm>
          <a:off x="2301240" y="2674620"/>
          <a:ext cx="176022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 (Application)</a:t>
          </a:r>
        </a:p>
      </xdr:txBody>
    </xdr:sp>
    <xdr:clientData/>
  </xdr:twoCellAnchor>
  <xdr:twoCellAnchor>
    <xdr:from>
      <xdr:col>5</xdr:col>
      <xdr:colOff>594360</xdr:colOff>
      <xdr:row>214</xdr:row>
      <xdr:rowOff>137160</xdr:rowOff>
    </xdr:from>
    <xdr:to>
      <xdr:col>7</xdr:col>
      <xdr:colOff>350520</xdr:colOff>
      <xdr:row>216</xdr:row>
      <xdr:rowOff>15240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1A1E39D-3466-4694-8F00-41E9D4C746FF}"/>
            </a:ext>
          </a:extLst>
        </xdr:cNvPr>
        <xdr:cNvSpPr/>
      </xdr:nvSpPr>
      <xdr:spPr>
        <a:xfrm>
          <a:off x="4556760" y="2697480"/>
          <a:ext cx="134112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Modules</a:t>
          </a:r>
        </a:p>
      </xdr:txBody>
    </xdr:sp>
    <xdr:clientData/>
  </xdr:twoCellAnchor>
  <xdr:twoCellAnchor>
    <xdr:from>
      <xdr:col>8</xdr:col>
      <xdr:colOff>15240</xdr:colOff>
      <xdr:row>214</xdr:row>
      <xdr:rowOff>106680</xdr:rowOff>
    </xdr:from>
    <xdr:to>
      <xdr:col>11</xdr:col>
      <xdr:colOff>15240</xdr:colOff>
      <xdr:row>215</xdr:row>
      <xdr:rowOff>175260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C7CE3778-2E66-4224-83F4-31AC8B90D865}"/>
            </a:ext>
          </a:extLst>
        </xdr:cNvPr>
        <xdr:cNvSpPr/>
      </xdr:nvSpPr>
      <xdr:spPr>
        <a:xfrm>
          <a:off x="6355080" y="2667000"/>
          <a:ext cx="237744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Description</a:t>
          </a:r>
        </a:p>
      </xdr:txBody>
    </xdr:sp>
    <xdr:clientData/>
  </xdr:twoCellAnchor>
  <xdr:twoCellAnchor>
    <xdr:from>
      <xdr:col>11</xdr:col>
      <xdr:colOff>434340</xdr:colOff>
      <xdr:row>214</xdr:row>
      <xdr:rowOff>99060</xdr:rowOff>
    </xdr:from>
    <xdr:to>
      <xdr:col>14</xdr:col>
      <xdr:colOff>236220</xdr:colOff>
      <xdr:row>215</xdr:row>
      <xdr:rowOff>167640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F6A85788-EA2E-450E-8488-BD1BC0DEBBE8}"/>
            </a:ext>
          </a:extLst>
        </xdr:cNvPr>
        <xdr:cNvSpPr/>
      </xdr:nvSpPr>
      <xdr:spPr>
        <a:xfrm>
          <a:off x="9151620" y="2659380"/>
          <a:ext cx="217932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Environnement de développement</a:t>
          </a:r>
        </a:p>
      </xdr:txBody>
    </xdr:sp>
    <xdr:clientData/>
  </xdr:twoCellAnchor>
  <xdr:twoCellAnchor>
    <xdr:from>
      <xdr:col>14</xdr:col>
      <xdr:colOff>662940</xdr:colOff>
      <xdr:row>214</xdr:row>
      <xdr:rowOff>114300</xdr:rowOff>
    </xdr:from>
    <xdr:to>
      <xdr:col>17</xdr:col>
      <xdr:colOff>91440</xdr:colOff>
      <xdr:row>215</xdr:row>
      <xdr:rowOff>167640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474A6BC-529C-4786-88ED-E14C4599B503}"/>
            </a:ext>
          </a:extLst>
        </xdr:cNvPr>
        <xdr:cNvSpPr/>
      </xdr:nvSpPr>
      <xdr:spPr>
        <a:xfrm>
          <a:off x="11757660" y="2674620"/>
          <a:ext cx="180594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Développée par / Année</a:t>
          </a:r>
        </a:p>
      </xdr:txBody>
    </xdr:sp>
    <xdr:clientData/>
  </xdr:twoCellAnchor>
  <xdr:twoCellAnchor>
    <xdr:from>
      <xdr:col>17</xdr:col>
      <xdr:colOff>556260</xdr:colOff>
      <xdr:row>214</xdr:row>
      <xdr:rowOff>114300</xdr:rowOff>
    </xdr:from>
    <xdr:to>
      <xdr:col>21</xdr:col>
      <xdr:colOff>76200</xdr:colOff>
      <xdr:row>215</xdr:row>
      <xdr:rowOff>175260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DE6C5FCF-9496-44AC-B4A1-545291195D55}"/>
            </a:ext>
          </a:extLst>
        </xdr:cNvPr>
        <xdr:cNvSpPr/>
      </xdr:nvSpPr>
      <xdr:spPr>
        <a:xfrm>
          <a:off x="14028420" y="2674620"/>
          <a:ext cx="268986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Noms ou @IP des serveurs d’hébergement</a:t>
          </a:r>
        </a:p>
      </xdr:txBody>
    </xdr:sp>
    <xdr:clientData/>
  </xdr:twoCellAnchor>
  <xdr:twoCellAnchor>
    <xdr:from>
      <xdr:col>21</xdr:col>
      <xdr:colOff>693420</xdr:colOff>
      <xdr:row>214</xdr:row>
      <xdr:rowOff>121920</xdr:rowOff>
    </xdr:from>
    <xdr:to>
      <xdr:col>24</xdr:col>
      <xdr:colOff>60960</xdr:colOff>
      <xdr:row>216</xdr:row>
      <xdr:rowOff>7620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180F1F6-9114-4CD4-946B-87E0342BEAC8}"/>
            </a:ext>
          </a:extLst>
        </xdr:cNvPr>
        <xdr:cNvSpPr/>
      </xdr:nvSpPr>
      <xdr:spPr>
        <a:xfrm>
          <a:off x="17335500" y="2682240"/>
          <a:ext cx="174498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Nombre d’utilisateurs</a:t>
          </a:r>
        </a:p>
      </xdr:txBody>
    </xdr:sp>
    <xdr:clientData/>
  </xdr:twoCellAnchor>
  <xdr:twoCellAnchor>
    <xdr:from>
      <xdr:col>0</xdr:col>
      <xdr:colOff>160020</xdr:colOff>
      <xdr:row>212</xdr:row>
      <xdr:rowOff>137160</xdr:rowOff>
    </xdr:from>
    <xdr:to>
      <xdr:col>1</xdr:col>
      <xdr:colOff>556260</xdr:colOff>
      <xdr:row>214</xdr:row>
      <xdr:rowOff>7620</xdr:rowOff>
    </xdr:to>
    <xdr:sp macro="[0]!Ajouter_Application_ChampAudit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55B48D1F-BB78-AE66-B329-4FB197299398}"/>
            </a:ext>
          </a:extLst>
        </xdr:cNvPr>
        <xdr:cNvSpPr/>
      </xdr:nvSpPr>
      <xdr:spPr>
        <a:xfrm>
          <a:off x="160020" y="2331720"/>
          <a:ext cx="1188720" cy="2362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</a:t>
          </a:r>
        </a:p>
      </xdr:txBody>
    </xdr:sp>
    <xdr:clientData/>
  </xdr:twoCellAnchor>
  <xdr:twoCellAnchor>
    <xdr:from>
      <xdr:col>0</xdr:col>
      <xdr:colOff>152400</xdr:colOff>
      <xdr:row>214</xdr:row>
      <xdr:rowOff>91440</xdr:rowOff>
    </xdr:from>
    <xdr:to>
      <xdr:col>1</xdr:col>
      <xdr:colOff>533400</xdr:colOff>
      <xdr:row>216</xdr:row>
      <xdr:rowOff>0</xdr:rowOff>
    </xdr:to>
    <xdr:sp macro="[0]!Supprimer_Application_ChampAudit" textlink="">
      <xdr:nvSpPr>
        <xdr:cNvPr id="29" name="Rectangle : coins arrondis 28">
          <a:extLst>
            <a:ext uri="{FF2B5EF4-FFF2-40B4-BE49-F238E27FC236}">
              <a16:creationId xmlns:a16="http://schemas.microsoft.com/office/drawing/2014/main" id="{5944BF6E-4E39-4FF5-A7A5-BD3CF41FE5FB}"/>
            </a:ext>
          </a:extLst>
        </xdr:cNvPr>
        <xdr:cNvSpPr/>
      </xdr:nvSpPr>
      <xdr:spPr>
        <a:xfrm>
          <a:off x="152400" y="2651760"/>
          <a:ext cx="1173480" cy="27432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3</xdr:col>
      <xdr:colOff>647700</xdr:colOff>
      <xdr:row>413</xdr:row>
      <xdr:rowOff>144780</xdr:rowOff>
    </xdr:from>
    <xdr:to>
      <xdr:col>6</xdr:col>
      <xdr:colOff>83820</xdr:colOff>
      <xdr:row>415</xdr:row>
      <xdr:rowOff>15240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F923A0A3-752B-C39D-906D-B2EE430E9B41}"/>
            </a:ext>
          </a:extLst>
        </xdr:cNvPr>
        <xdr:cNvSpPr/>
      </xdr:nvSpPr>
      <xdr:spPr>
        <a:xfrm>
          <a:off x="3025140" y="2522220"/>
          <a:ext cx="181356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Nature (Composant)</a:t>
          </a:r>
        </a:p>
      </xdr:txBody>
    </xdr:sp>
    <xdr:clientData/>
  </xdr:twoCellAnchor>
  <xdr:twoCellAnchor>
    <xdr:from>
      <xdr:col>6</xdr:col>
      <xdr:colOff>586740</xdr:colOff>
      <xdr:row>413</xdr:row>
      <xdr:rowOff>137160</xdr:rowOff>
    </xdr:from>
    <xdr:to>
      <xdr:col>9</xdr:col>
      <xdr:colOff>99060</xdr:colOff>
      <xdr:row>415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719B3052-CBD0-463D-B508-F433EF6943A5}"/>
            </a:ext>
          </a:extLst>
        </xdr:cNvPr>
        <xdr:cNvSpPr/>
      </xdr:nvSpPr>
      <xdr:spPr>
        <a:xfrm>
          <a:off x="5341620" y="2514600"/>
          <a:ext cx="188976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Marque</a:t>
          </a:r>
        </a:p>
      </xdr:txBody>
    </xdr:sp>
    <xdr:clientData/>
  </xdr:twoCellAnchor>
  <xdr:twoCellAnchor>
    <xdr:from>
      <xdr:col>9</xdr:col>
      <xdr:colOff>571500</xdr:colOff>
      <xdr:row>413</xdr:row>
      <xdr:rowOff>106680</xdr:rowOff>
    </xdr:from>
    <xdr:to>
      <xdr:col>11</xdr:col>
      <xdr:colOff>137160</xdr:colOff>
      <xdr:row>415</xdr:row>
      <xdr:rowOff>7620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1906BB41-0F05-40BF-B6EE-8115AA3B34E6}"/>
            </a:ext>
          </a:extLst>
        </xdr:cNvPr>
        <xdr:cNvSpPr/>
      </xdr:nvSpPr>
      <xdr:spPr>
        <a:xfrm>
          <a:off x="7703820" y="2484120"/>
          <a:ext cx="1150620" cy="2667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Nombre</a:t>
          </a:r>
        </a:p>
      </xdr:txBody>
    </xdr:sp>
    <xdr:clientData/>
  </xdr:twoCellAnchor>
  <xdr:twoCellAnchor>
    <xdr:from>
      <xdr:col>11</xdr:col>
      <xdr:colOff>617220</xdr:colOff>
      <xdr:row>413</xdr:row>
      <xdr:rowOff>114300</xdr:rowOff>
    </xdr:from>
    <xdr:to>
      <xdr:col>14</xdr:col>
      <xdr:colOff>160020</xdr:colOff>
      <xdr:row>415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EDED7B76-A5FE-44EA-9771-18C1B4335017}"/>
            </a:ext>
          </a:extLst>
        </xdr:cNvPr>
        <xdr:cNvSpPr/>
      </xdr:nvSpPr>
      <xdr:spPr>
        <a:xfrm>
          <a:off x="9334500" y="2491740"/>
          <a:ext cx="192024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Administré par</a:t>
          </a:r>
        </a:p>
      </xdr:txBody>
    </xdr:sp>
    <xdr:clientData/>
  </xdr:twoCellAnchor>
  <xdr:twoCellAnchor>
    <xdr:from>
      <xdr:col>14</xdr:col>
      <xdr:colOff>655320</xdr:colOff>
      <xdr:row>413</xdr:row>
      <xdr:rowOff>114300</xdr:rowOff>
    </xdr:from>
    <xdr:to>
      <xdr:col>18</xdr:col>
      <xdr:colOff>129540</xdr:colOff>
      <xdr:row>415</xdr:row>
      <xdr:rowOff>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788C6A1B-70F5-43FF-8054-41A70AB56BE0}"/>
            </a:ext>
          </a:extLst>
        </xdr:cNvPr>
        <xdr:cNvSpPr/>
      </xdr:nvSpPr>
      <xdr:spPr>
        <a:xfrm>
          <a:off x="11750040" y="2491740"/>
          <a:ext cx="264414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Observations</a:t>
          </a:r>
        </a:p>
      </xdr:txBody>
    </xdr:sp>
    <xdr:clientData/>
  </xdr:twoCellAnchor>
  <xdr:twoCellAnchor>
    <xdr:from>
      <xdr:col>18</xdr:col>
      <xdr:colOff>723900</xdr:colOff>
      <xdr:row>413</xdr:row>
      <xdr:rowOff>114300</xdr:rowOff>
    </xdr:from>
    <xdr:to>
      <xdr:col>22</xdr:col>
      <xdr:colOff>53340</xdr:colOff>
      <xdr:row>414</xdr:row>
      <xdr:rowOff>167640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A5A2D874-5F0D-48B7-BEBA-5E785362B96F}"/>
            </a:ext>
          </a:extLst>
        </xdr:cNvPr>
        <xdr:cNvSpPr/>
      </xdr:nvSpPr>
      <xdr:spPr>
        <a:xfrm>
          <a:off x="14988540" y="2491740"/>
          <a:ext cx="249936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Incluse au périmètre d’audit (Oui/Non)</a:t>
          </a:r>
        </a:p>
      </xdr:txBody>
    </xdr:sp>
    <xdr:clientData/>
  </xdr:twoCellAnchor>
  <xdr:twoCellAnchor>
    <xdr:from>
      <xdr:col>22</xdr:col>
      <xdr:colOff>571500</xdr:colOff>
      <xdr:row>413</xdr:row>
      <xdr:rowOff>106680</xdr:rowOff>
    </xdr:from>
    <xdr:to>
      <xdr:col>26</xdr:col>
      <xdr:colOff>121920</xdr:colOff>
      <xdr:row>414</xdr:row>
      <xdr:rowOff>167640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93A2EFE3-1666-4AC1-80E9-FE7ECD5DFC16}"/>
            </a:ext>
          </a:extLst>
        </xdr:cNvPr>
        <xdr:cNvSpPr/>
      </xdr:nvSpPr>
      <xdr:spPr>
        <a:xfrm>
          <a:off x="18006060" y="2484120"/>
          <a:ext cx="272034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Justification d'exclusion</a:t>
          </a:r>
        </a:p>
      </xdr:txBody>
    </xdr:sp>
    <xdr:clientData/>
  </xdr:twoCellAnchor>
  <xdr:twoCellAnchor>
    <xdr:from>
      <xdr:col>0</xdr:col>
      <xdr:colOff>99060</xdr:colOff>
      <xdr:row>412</xdr:row>
      <xdr:rowOff>60960</xdr:rowOff>
    </xdr:from>
    <xdr:to>
      <xdr:col>1</xdr:col>
      <xdr:colOff>91440</xdr:colOff>
      <xdr:row>413</xdr:row>
      <xdr:rowOff>137160</xdr:rowOff>
    </xdr:to>
    <xdr:sp macro="[0]!Ajouter_Infra_ChampAudit" textlink="">
      <xdr:nvSpPr>
        <xdr:cNvPr id="37" name="Rectangle : coins arrondis 36">
          <a:extLst>
            <a:ext uri="{FF2B5EF4-FFF2-40B4-BE49-F238E27FC236}">
              <a16:creationId xmlns:a16="http://schemas.microsoft.com/office/drawing/2014/main" id="{A72D70AC-B078-670D-A4DB-4C2C04699DB5}"/>
            </a:ext>
          </a:extLst>
        </xdr:cNvPr>
        <xdr:cNvSpPr/>
      </xdr:nvSpPr>
      <xdr:spPr>
        <a:xfrm>
          <a:off x="99060" y="2255520"/>
          <a:ext cx="784860" cy="25908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91440</xdr:colOff>
      <xdr:row>414</xdr:row>
      <xdr:rowOff>22860</xdr:rowOff>
    </xdr:from>
    <xdr:to>
      <xdr:col>1</xdr:col>
      <xdr:colOff>83820</xdr:colOff>
      <xdr:row>415</xdr:row>
      <xdr:rowOff>99060</xdr:rowOff>
    </xdr:to>
    <xdr:sp macro="[0]!Supprimer_Infra_ChampAudit" textlink="">
      <xdr:nvSpPr>
        <xdr:cNvPr id="38" name="Rectangle : coins arrondis 37">
          <a:extLst>
            <a:ext uri="{FF2B5EF4-FFF2-40B4-BE49-F238E27FC236}">
              <a16:creationId xmlns:a16="http://schemas.microsoft.com/office/drawing/2014/main" id="{0B39C7FA-32C5-47CF-9E61-72E6EEDE6519}"/>
            </a:ext>
          </a:extLst>
        </xdr:cNvPr>
        <xdr:cNvSpPr/>
      </xdr:nvSpPr>
      <xdr:spPr>
        <a:xfrm>
          <a:off x="91440" y="2583180"/>
          <a:ext cx="784860" cy="25908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</xdr:col>
      <xdr:colOff>784860</xdr:colOff>
      <xdr:row>413</xdr:row>
      <xdr:rowOff>137160</xdr:rowOff>
    </xdr:from>
    <xdr:to>
      <xdr:col>3</xdr:col>
      <xdr:colOff>15240</xdr:colOff>
      <xdr:row>414</xdr:row>
      <xdr:rowOff>167640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B91DE47-D229-9FA0-C25C-FEC4274D37E6}"/>
            </a:ext>
          </a:extLst>
        </xdr:cNvPr>
        <xdr:cNvSpPr/>
      </xdr:nvSpPr>
      <xdr:spPr>
        <a:xfrm>
          <a:off x="1577340" y="2514600"/>
          <a:ext cx="815340" cy="2133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ID</a:t>
          </a:r>
        </a:p>
      </xdr:txBody>
    </xdr:sp>
    <xdr:clientData/>
  </xdr:twoCellAnchor>
  <xdr:twoCellAnchor>
    <xdr:from>
      <xdr:col>3</xdr:col>
      <xdr:colOff>617220</xdr:colOff>
      <xdr:row>614</xdr:row>
      <xdr:rowOff>167640</xdr:rowOff>
    </xdr:from>
    <xdr:to>
      <xdr:col>6</xdr:col>
      <xdr:colOff>83820</xdr:colOff>
      <xdr:row>616</xdr:row>
      <xdr:rowOff>22860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96FBC746-9723-C4B5-DD17-8C6E8F0A1C69}"/>
            </a:ext>
          </a:extLst>
        </xdr:cNvPr>
        <xdr:cNvSpPr/>
      </xdr:nvSpPr>
      <xdr:spPr>
        <a:xfrm>
          <a:off x="2994660" y="2727960"/>
          <a:ext cx="184404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Système d'exploitation </a:t>
          </a:r>
        </a:p>
      </xdr:txBody>
    </xdr:sp>
    <xdr:clientData/>
  </xdr:twoCellAnchor>
  <xdr:twoCellAnchor>
    <xdr:from>
      <xdr:col>6</xdr:col>
      <xdr:colOff>579120</xdr:colOff>
      <xdr:row>615</xdr:row>
      <xdr:rowOff>0</xdr:rowOff>
    </xdr:from>
    <xdr:to>
      <xdr:col>8</xdr:col>
      <xdr:colOff>236220</xdr:colOff>
      <xdr:row>616</xdr:row>
      <xdr:rowOff>45720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412763CE-A85F-41E9-91B0-612CCF1FFA4A}"/>
            </a:ext>
          </a:extLst>
        </xdr:cNvPr>
        <xdr:cNvSpPr/>
      </xdr:nvSpPr>
      <xdr:spPr>
        <a:xfrm>
          <a:off x="5334000" y="2743200"/>
          <a:ext cx="124206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Nombre de Postes</a:t>
          </a:r>
        </a:p>
      </xdr:txBody>
    </xdr:sp>
    <xdr:clientData/>
  </xdr:twoCellAnchor>
  <xdr:twoCellAnchor>
    <xdr:from>
      <xdr:col>8</xdr:col>
      <xdr:colOff>762000</xdr:colOff>
      <xdr:row>614</xdr:row>
      <xdr:rowOff>167640</xdr:rowOff>
    </xdr:from>
    <xdr:to>
      <xdr:col>12</xdr:col>
      <xdr:colOff>7620</xdr:colOff>
      <xdr:row>616</xdr:row>
      <xdr:rowOff>22860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48E1CD29-5C54-4822-A823-EE9533B86F10}"/>
            </a:ext>
          </a:extLst>
        </xdr:cNvPr>
        <xdr:cNvSpPr/>
      </xdr:nvSpPr>
      <xdr:spPr>
        <a:xfrm>
          <a:off x="7101840" y="2727960"/>
          <a:ext cx="241554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Incluse au périmètre d’audit (Oui/Non)</a:t>
          </a:r>
          <a:endParaRPr lang="fr-FR">
            <a:effectLst/>
          </a:endParaRPr>
        </a:p>
        <a:p>
          <a:pPr algn="ctr"/>
          <a:endParaRPr lang="fr-FR" sz="1100"/>
        </a:p>
      </xdr:txBody>
    </xdr:sp>
    <xdr:clientData/>
  </xdr:twoCellAnchor>
  <xdr:twoCellAnchor>
    <xdr:from>
      <xdr:col>12</xdr:col>
      <xdr:colOff>624840</xdr:colOff>
      <xdr:row>615</xdr:row>
      <xdr:rowOff>0</xdr:rowOff>
    </xdr:from>
    <xdr:to>
      <xdr:col>15</xdr:col>
      <xdr:colOff>784860</xdr:colOff>
      <xdr:row>616</xdr:row>
      <xdr:rowOff>45720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CC747909-184C-4B3C-9558-3E06B063032F}"/>
            </a:ext>
          </a:extLst>
        </xdr:cNvPr>
        <xdr:cNvSpPr/>
      </xdr:nvSpPr>
      <xdr:spPr>
        <a:xfrm>
          <a:off x="10134600" y="2743200"/>
          <a:ext cx="253746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Justification d'exclusion</a:t>
          </a:r>
          <a:endParaRPr lang="fr-FR">
            <a:effectLst/>
          </a:endParaRPr>
        </a:p>
        <a:p>
          <a:pPr algn="ctr"/>
          <a:endParaRPr lang="fr-FR" sz="1100"/>
        </a:p>
      </xdr:txBody>
    </xdr:sp>
    <xdr:clientData/>
  </xdr:twoCellAnchor>
  <xdr:twoCellAnchor>
    <xdr:from>
      <xdr:col>0</xdr:col>
      <xdr:colOff>60960</xdr:colOff>
      <xdr:row>612</xdr:row>
      <xdr:rowOff>68580</xdr:rowOff>
    </xdr:from>
    <xdr:to>
      <xdr:col>1</xdr:col>
      <xdr:colOff>38100</xdr:colOff>
      <xdr:row>613</xdr:row>
      <xdr:rowOff>114300</xdr:rowOff>
    </xdr:to>
    <xdr:sp macro="[0]!Ajouter_Poste_ChampAudit" textlink="">
      <xdr:nvSpPr>
        <xdr:cNvPr id="44" name="Rectangle : coins arrondis 43">
          <a:extLst>
            <a:ext uri="{FF2B5EF4-FFF2-40B4-BE49-F238E27FC236}">
              <a16:creationId xmlns:a16="http://schemas.microsoft.com/office/drawing/2014/main" id="{01587573-845C-BC22-AFA9-EC810CB222E7}"/>
            </a:ext>
          </a:extLst>
        </xdr:cNvPr>
        <xdr:cNvSpPr/>
      </xdr:nvSpPr>
      <xdr:spPr>
        <a:xfrm>
          <a:off x="60960" y="2263140"/>
          <a:ext cx="769620" cy="228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30480</xdr:colOff>
      <xdr:row>613</xdr:row>
      <xdr:rowOff>167640</xdr:rowOff>
    </xdr:from>
    <xdr:to>
      <xdr:col>1</xdr:col>
      <xdr:colOff>106680</xdr:colOff>
      <xdr:row>615</xdr:row>
      <xdr:rowOff>60960</xdr:rowOff>
    </xdr:to>
    <xdr:sp macro="[0]!Supprimer_Poste_ChampAudit" textlink="">
      <xdr:nvSpPr>
        <xdr:cNvPr id="45" name="Rectangle : coins arrondis 44">
          <a:extLst>
            <a:ext uri="{FF2B5EF4-FFF2-40B4-BE49-F238E27FC236}">
              <a16:creationId xmlns:a16="http://schemas.microsoft.com/office/drawing/2014/main" id="{CFD1EDF6-4204-4A81-99A7-CB3409FB12A9}"/>
            </a:ext>
          </a:extLst>
        </xdr:cNvPr>
        <xdr:cNvSpPr/>
      </xdr:nvSpPr>
      <xdr:spPr>
        <a:xfrm>
          <a:off x="30480" y="2545080"/>
          <a:ext cx="868680" cy="25908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</xdr:col>
      <xdr:colOff>769620</xdr:colOff>
      <xdr:row>614</xdr:row>
      <xdr:rowOff>175260</xdr:rowOff>
    </xdr:from>
    <xdr:to>
      <xdr:col>3</xdr:col>
      <xdr:colOff>22860</xdr:colOff>
      <xdr:row>616</xdr:row>
      <xdr:rowOff>22860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AF506439-6CBD-4329-7985-4247BC6D89D1}"/>
            </a:ext>
          </a:extLst>
        </xdr:cNvPr>
        <xdr:cNvSpPr/>
      </xdr:nvSpPr>
      <xdr:spPr>
        <a:xfrm>
          <a:off x="1562100" y="2735580"/>
          <a:ext cx="838200" cy="2133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ID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2</xdr:col>
      <xdr:colOff>777240</xdr:colOff>
      <xdr:row>814</xdr:row>
      <xdr:rowOff>160020</xdr:rowOff>
    </xdr:from>
    <xdr:to>
      <xdr:col>5</xdr:col>
      <xdr:colOff>15240</xdr:colOff>
      <xdr:row>816</xdr:row>
      <xdr:rowOff>38100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73D76DFE-8E28-7CA4-5AE7-A2F7F98DF483}"/>
            </a:ext>
          </a:extLst>
        </xdr:cNvPr>
        <xdr:cNvSpPr/>
      </xdr:nvSpPr>
      <xdr:spPr>
        <a:xfrm>
          <a:off x="2362200" y="2720340"/>
          <a:ext cx="161544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 (Serveur)</a:t>
          </a:r>
        </a:p>
      </xdr:txBody>
    </xdr:sp>
    <xdr:clientData/>
  </xdr:twoCellAnchor>
  <xdr:twoCellAnchor>
    <xdr:from>
      <xdr:col>5</xdr:col>
      <xdr:colOff>678180</xdr:colOff>
      <xdr:row>814</xdr:row>
      <xdr:rowOff>152400</xdr:rowOff>
    </xdr:from>
    <xdr:to>
      <xdr:col>8</xdr:col>
      <xdr:colOff>152400</xdr:colOff>
      <xdr:row>816</xdr:row>
      <xdr:rowOff>38100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1A64940-54FE-4707-97EE-3579D1707B2D}"/>
            </a:ext>
          </a:extLst>
        </xdr:cNvPr>
        <xdr:cNvSpPr/>
      </xdr:nvSpPr>
      <xdr:spPr>
        <a:xfrm>
          <a:off x="4640580" y="2712720"/>
          <a:ext cx="185166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Adresse IP</a:t>
          </a:r>
        </a:p>
      </xdr:txBody>
    </xdr:sp>
    <xdr:clientData/>
  </xdr:twoCellAnchor>
  <xdr:twoCellAnchor>
    <xdr:from>
      <xdr:col>8</xdr:col>
      <xdr:colOff>396240</xdr:colOff>
      <xdr:row>814</xdr:row>
      <xdr:rowOff>152400</xdr:rowOff>
    </xdr:from>
    <xdr:to>
      <xdr:col>10</xdr:col>
      <xdr:colOff>426720</xdr:colOff>
      <xdr:row>816</xdr:row>
      <xdr:rowOff>22860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615A92DB-CE39-47B6-AB71-43928A6EDDCF}"/>
            </a:ext>
          </a:extLst>
        </xdr:cNvPr>
        <xdr:cNvSpPr/>
      </xdr:nvSpPr>
      <xdr:spPr>
        <a:xfrm>
          <a:off x="6736080" y="2712720"/>
          <a:ext cx="161544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Type (MV/MP)</a:t>
          </a:r>
        </a:p>
      </xdr:txBody>
    </xdr:sp>
    <xdr:clientData/>
  </xdr:twoCellAnchor>
  <xdr:twoCellAnchor>
    <xdr:from>
      <xdr:col>10</xdr:col>
      <xdr:colOff>769620</xdr:colOff>
      <xdr:row>814</xdr:row>
      <xdr:rowOff>137160</xdr:rowOff>
    </xdr:from>
    <xdr:to>
      <xdr:col>13</xdr:col>
      <xdr:colOff>7620</xdr:colOff>
      <xdr:row>816</xdr:row>
      <xdr:rowOff>15240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56AB4FDB-77A8-4D55-A1EF-879BE130170F}"/>
            </a:ext>
          </a:extLst>
        </xdr:cNvPr>
        <xdr:cNvSpPr/>
      </xdr:nvSpPr>
      <xdr:spPr>
        <a:xfrm>
          <a:off x="8694420" y="2697480"/>
          <a:ext cx="1615440" cy="2438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Système d’exploitation</a:t>
          </a:r>
        </a:p>
      </xdr:txBody>
    </xdr:sp>
    <xdr:clientData/>
  </xdr:twoCellAnchor>
  <xdr:twoCellAnchor>
    <xdr:from>
      <xdr:col>13</xdr:col>
      <xdr:colOff>739140</xdr:colOff>
      <xdr:row>814</xdr:row>
      <xdr:rowOff>175260</xdr:rowOff>
    </xdr:from>
    <xdr:to>
      <xdr:col>16</xdr:col>
      <xdr:colOff>60960</xdr:colOff>
      <xdr:row>816</xdr:row>
      <xdr:rowOff>7620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562162CC-CF0F-4382-AAD9-9385990EE6F0}"/>
            </a:ext>
          </a:extLst>
        </xdr:cNvPr>
        <xdr:cNvSpPr/>
      </xdr:nvSpPr>
      <xdr:spPr>
        <a:xfrm>
          <a:off x="11041380" y="2735580"/>
          <a:ext cx="1699260" cy="1981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Rôle/Métier </a:t>
          </a:r>
        </a:p>
      </xdr:txBody>
    </xdr:sp>
    <xdr:clientData/>
  </xdr:twoCellAnchor>
  <xdr:twoCellAnchor>
    <xdr:from>
      <xdr:col>16</xdr:col>
      <xdr:colOff>754380</xdr:colOff>
      <xdr:row>814</xdr:row>
      <xdr:rowOff>144780</xdr:rowOff>
    </xdr:from>
    <xdr:to>
      <xdr:col>20</xdr:col>
      <xdr:colOff>106680</xdr:colOff>
      <xdr:row>816</xdr:row>
      <xdr:rowOff>15240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C0175EBB-4FF9-4DC0-A9F4-9FF0F57C2660}"/>
            </a:ext>
          </a:extLst>
        </xdr:cNvPr>
        <xdr:cNvSpPr/>
      </xdr:nvSpPr>
      <xdr:spPr>
        <a:xfrm>
          <a:off x="13434060" y="2705100"/>
          <a:ext cx="252222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Incluse au périmètre d’audit (Oui/Non)</a:t>
          </a:r>
        </a:p>
      </xdr:txBody>
    </xdr:sp>
    <xdr:clientData/>
  </xdr:twoCellAnchor>
  <xdr:twoCellAnchor>
    <xdr:from>
      <xdr:col>20</xdr:col>
      <xdr:colOff>754380</xdr:colOff>
      <xdr:row>814</xdr:row>
      <xdr:rowOff>160020</xdr:rowOff>
    </xdr:from>
    <xdr:to>
      <xdr:col>23</xdr:col>
      <xdr:colOff>701040</xdr:colOff>
      <xdr:row>816</xdr:row>
      <xdr:rowOff>7620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1423D3C6-5FBA-4917-8963-F00CCCBE3304}"/>
            </a:ext>
          </a:extLst>
        </xdr:cNvPr>
        <xdr:cNvSpPr/>
      </xdr:nvSpPr>
      <xdr:spPr>
        <a:xfrm>
          <a:off x="16603980" y="2720340"/>
          <a:ext cx="2324100" cy="2133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Justification d'exclusion</a:t>
          </a:r>
        </a:p>
      </xdr:txBody>
    </xdr:sp>
    <xdr:clientData/>
  </xdr:twoCellAnchor>
  <xdr:twoCellAnchor>
    <xdr:from>
      <xdr:col>0</xdr:col>
      <xdr:colOff>281940</xdr:colOff>
      <xdr:row>812</xdr:row>
      <xdr:rowOff>15240</xdr:rowOff>
    </xdr:from>
    <xdr:to>
      <xdr:col>2</xdr:col>
      <xdr:colOff>0</xdr:colOff>
      <xdr:row>813</xdr:row>
      <xdr:rowOff>53340</xdr:rowOff>
    </xdr:to>
    <xdr:sp macro="[0]!Ajouter_Serveur_ChampAudit" textlink="">
      <xdr:nvSpPr>
        <xdr:cNvPr id="54" name="Rectangle : coins arrondis 53">
          <a:extLst>
            <a:ext uri="{FF2B5EF4-FFF2-40B4-BE49-F238E27FC236}">
              <a16:creationId xmlns:a16="http://schemas.microsoft.com/office/drawing/2014/main" id="{EC1240D8-13F2-555D-BD1F-F4C3D75A31CD}"/>
            </a:ext>
          </a:extLst>
        </xdr:cNvPr>
        <xdr:cNvSpPr/>
      </xdr:nvSpPr>
      <xdr:spPr>
        <a:xfrm>
          <a:off x="281940" y="2209800"/>
          <a:ext cx="1303020" cy="22098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289560</xdr:colOff>
      <xdr:row>813</xdr:row>
      <xdr:rowOff>175260</xdr:rowOff>
    </xdr:from>
    <xdr:to>
      <xdr:col>2</xdr:col>
      <xdr:colOff>7620</xdr:colOff>
      <xdr:row>815</xdr:row>
      <xdr:rowOff>68580</xdr:rowOff>
    </xdr:to>
    <xdr:sp macro="[0]!Supprimer_Serveur_ChampAudit" textlink="">
      <xdr:nvSpPr>
        <xdr:cNvPr id="55" name="Rectangle : coins arrondis 54">
          <a:extLst>
            <a:ext uri="{FF2B5EF4-FFF2-40B4-BE49-F238E27FC236}">
              <a16:creationId xmlns:a16="http://schemas.microsoft.com/office/drawing/2014/main" id="{FFCDBECD-3D1C-4C9D-A8DD-A6FA0D048BF9}"/>
            </a:ext>
          </a:extLst>
        </xdr:cNvPr>
        <xdr:cNvSpPr/>
      </xdr:nvSpPr>
      <xdr:spPr>
        <a:xfrm>
          <a:off x="289560" y="2552700"/>
          <a:ext cx="1303020" cy="25908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</xdr:col>
      <xdr:colOff>0</xdr:colOff>
      <xdr:row>1014</xdr:row>
      <xdr:rowOff>22860</xdr:rowOff>
    </xdr:from>
    <xdr:to>
      <xdr:col>3</xdr:col>
      <xdr:colOff>45720</xdr:colOff>
      <xdr:row>1015</xdr:row>
      <xdr:rowOff>129540</xdr:rowOff>
    </xdr:to>
    <xdr:sp macro="[0]!Inserer_Architecture_ChampAudit" textlink="">
      <xdr:nvSpPr>
        <xdr:cNvPr id="26" name="Rectangle : coins arrondis 25">
          <a:extLst>
            <a:ext uri="{FF2B5EF4-FFF2-40B4-BE49-F238E27FC236}">
              <a16:creationId xmlns:a16="http://schemas.microsoft.com/office/drawing/2014/main" id="{7A84B340-8B38-C940-AA43-AB70BA3D4595}"/>
            </a:ext>
          </a:extLst>
        </xdr:cNvPr>
        <xdr:cNvSpPr/>
      </xdr:nvSpPr>
      <xdr:spPr>
        <a:xfrm>
          <a:off x="792480" y="2583180"/>
          <a:ext cx="1630680" cy="28956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chemeClr val="accent4"/>
              </a:solidFill>
            </a:rPr>
            <a:t>Inserer l'architecture</a:t>
          </a:r>
        </a:p>
      </xdr:txBody>
    </xdr:sp>
    <xdr:clientData/>
  </xdr:twoCellAnchor>
  <xdr:twoCellAnchor editAs="oneCell">
    <xdr:from>
      <xdr:col>7</xdr:col>
      <xdr:colOff>0</xdr:colOff>
      <xdr:row>1012</xdr:row>
      <xdr:rowOff>114300</xdr:rowOff>
    </xdr:from>
    <xdr:to>
      <xdr:col>11</xdr:col>
      <xdr:colOff>342900</xdr:colOff>
      <xdr:row>1824</xdr:row>
      <xdr:rowOff>144780</xdr:rowOff>
    </xdr:to>
    <xdr:pic>
      <xdr:nvPicPr>
        <xdr:cNvPr id="56" name="Image 55">
          <a:extLst>
            <a:ext uri="{FF2B5EF4-FFF2-40B4-BE49-F238E27FC236}">
              <a16:creationId xmlns:a16="http://schemas.microsoft.com/office/drawing/2014/main" id="{8FA47275-012B-75F2-9B63-AE12B9FDE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547360" y="2308860"/>
          <a:ext cx="3512820" cy="2339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198120</xdr:colOff>
      <xdr:row>5</xdr:row>
      <xdr:rowOff>45720</xdr:rowOff>
    </xdr:from>
    <xdr:to>
      <xdr:col>19</xdr:col>
      <xdr:colOff>38100</xdr:colOff>
      <xdr:row>9</xdr:row>
      <xdr:rowOff>144780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EE620F4-2254-3467-007D-FC23F55C1536}"/>
            </a:ext>
          </a:extLst>
        </xdr:cNvPr>
        <xdr:cNvSpPr/>
      </xdr:nvSpPr>
      <xdr:spPr>
        <a:xfrm>
          <a:off x="990600" y="960120"/>
          <a:ext cx="14104620" cy="83058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137160</xdr:colOff>
      <xdr:row>0</xdr:row>
      <xdr:rowOff>106680</xdr:rowOff>
    </xdr:from>
    <xdr:to>
      <xdr:col>4</xdr:col>
      <xdr:colOff>388620</xdr:colOff>
      <xdr:row>3</xdr:row>
      <xdr:rowOff>167640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0FBDCC0-400A-215D-79E6-55679FA08155}"/>
            </a:ext>
          </a:extLst>
        </xdr:cNvPr>
        <xdr:cNvSpPr/>
      </xdr:nvSpPr>
      <xdr:spPr>
        <a:xfrm>
          <a:off x="137160" y="106680"/>
          <a:ext cx="3421380" cy="60960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Méthodologie</a:t>
          </a:r>
          <a:r>
            <a:rPr lang="fr-FR" sz="2400"/>
            <a:t> </a:t>
          </a:r>
          <a:r>
            <a:rPr lang="fr-F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d'audit</a:t>
          </a:r>
          <a:endParaRPr lang="fr-FR" sz="2400"/>
        </a:p>
      </xdr:txBody>
    </xdr:sp>
    <xdr:clientData/>
  </xdr:twoCellAnchor>
  <xdr:twoCellAnchor>
    <xdr:from>
      <xdr:col>2</xdr:col>
      <xdr:colOff>365760</xdr:colOff>
      <xdr:row>6</xdr:row>
      <xdr:rowOff>76200</xdr:rowOff>
    </xdr:from>
    <xdr:to>
      <xdr:col>4</xdr:col>
      <xdr:colOff>449580</xdr:colOff>
      <xdr:row>8</xdr:row>
      <xdr:rowOff>129540</xdr:rowOff>
    </xdr:to>
    <xdr:sp macro="[0]!Afficher_Domaines_Securite_Methodologie" textlink="">
      <xdr:nvSpPr>
        <xdr:cNvPr id="5" name="onglet_domaines_methodologie">
          <a:extLst>
            <a:ext uri="{FF2B5EF4-FFF2-40B4-BE49-F238E27FC236}">
              <a16:creationId xmlns:a16="http://schemas.microsoft.com/office/drawing/2014/main" id="{25840261-9EFD-3FF8-7E1D-9CA9DED1FD87}"/>
            </a:ext>
          </a:extLst>
        </xdr:cNvPr>
        <xdr:cNvSpPr/>
      </xdr:nvSpPr>
      <xdr:spPr>
        <a:xfrm>
          <a:off x="1950720" y="1173480"/>
          <a:ext cx="1668780" cy="419100"/>
        </a:xfrm>
        <a:prstGeom prst="roundRect">
          <a:avLst/>
        </a:prstGeom>
        <a:gradFill flip="none" rotWithShape="1">
          <a:gsLst>
            <a:gs pos="0">
              <a:srgbClr val="FED64E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Domaines de sécurité</a:t>
          </a:r>
        </a:p>
      </xdr:txBody>
    </xdr:sp>
    <xdr:clientData/>
  </xdr:twoCellAnchor>
  <xdr:twoCellAnchor>
    <xdr:from>
      <xdr:col>4</xdr:col>
      <xdr:colOff>678180</xdr:colOff>
      <xdr:row>6</xdr:row>
      <xdr:rowOff>76200</xdr:rowOff>
    </xdr:from>
    <xdr:to>
      <xdr:col>7</xdr:col>
      <xdr:colOff>472440</xdr:colOff>
      <xdr:row>8</xdr:row>
      <xdr:rowOff>129540</xdr:rowOff>
    </xdr:to>
    <xdr:sp macro="[0]!Afficher_Maturite_Mesures_Methodologie" textlink="">
      <xdr:nvSpPr>
        <xdr:cNvPr id="6" name="onglet_maturite_methodologie">
          <a:extLst>
            <a:ext uri="{FF2B5EF4-FFF2-40B4-BE49-F238E27FC236}">
              <a16:creationId xmlns:a16="http://schemas.microsoft.com/office/drawing/2014/main" id="{D9A44B56-5620-424D-B697-36DA0650BF01}"/>
            </a:ext>
          </a:extLst>
        </xdr:cNvPr>
        <xdr:cNvSpPr/>
      </xdr:nvSpPr>
      <xdr:spPr>
        <a:xfrm>
          <a:off x="3848100" y="1173480"/>
          <a:ext cx="2171700" cy="4191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Maturité des Mesures de Sécurité</a:t>
          </a:r>
        </a:p>
      </xdr:txBody>
    </xdr:sp>
    <xdr:clientData/>
  </xdr:twoCellAnchor>
  <xdr:twoCellAnchor>
    <xdr:from>
      <xdr:col>7</xdr:col>
      <xdr:colOff>563880</xdr:colOff>
      <xdr:row>6</xdr:row>
      <xdr:rowOff>76200</xdr:rowOff>
    </xdr:from>
    <xdr:to>
      <xdr:col>9</xdr:col>
      <xdr:colOff>350520</xdr:colOff>
      <xdr:row>8</xdr:row>
      <xdr:rowOff>129540</xdr:rowOff>
    </xdr:to>
    <xdr:sp macro="[0]!Afficher_Outils_Audit_Methodologie" textlink="">
      <xdr:nvSpPr>
        <xdr:cNvPr id="7" name="onglet_outils_methodologie">
          <a:extLst>
            <a:ext uri="{FF2B5EF4-FFF2-40B4-BE49-F238E27FC236}">
              <a16:creationId xmlns:a16="http://schemas.microsoft.com/office/drawing/2014/main" id="{EBF3EBC4-9080-47A8-B2CC-06F6294700E2}"/>
            </a:ext>
          </a:extLst>
        </xdr:cNvPr>
        <xdr:cNvSpPr/>
      </xdr:nvSpPr>
      <xdr:spPr>
        <a:xfrm>
          <a:off x="6111240" y="1173480"/>
          <a:ext cx="1371600" cy="4191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Outils d’audit</a:t>
          </a:r>
        </a:p>
      </xdr:txBody>
    </xdr:sp>
    <xdr:clientData/>
  </xdr:twoCellAnchor>
  <xdr:twoCellAnchor>
    <xdr:from>
      <xdr:col>9</xdr:col>
      <xdr:colOff>480060</xdr:colOff>
      <xdr:row>6</xdr:row>
      <xdr:rowOff>91440</xdr:rowOff>
    </xdr:from>
    <xdr:to>
      <xdr:col>11</xdr:col>
      <xdr:colOff>266700</xdr:colOff>
      <xdr:row>8</xdr:row>
      <xdr:rowOff>144780</xdr:rowOff>
    </xdr:to>
    <xdr:sp macro="[0]!Afficher_Donnees_Audit_Methodologie" textlink="">
      <xdr:nvSpPr>
        <xdr:cNvPr id="8" name="onglet_donnees_methodologie">
          <a:extLst>
            <a:ext uri="{FF2B5EF4-FFF2-40B4-BE49-F238E27FC236}">
              <a16:creationId xmlns:a16="http://schemas.microsoft.com/office/drawing/2014/main" id="{28C1CDDD-71AB-4586-BF0D-FFD431455134}"/>
            </a:ext>
          </a:extLst>
        </xdr:cNvPr>
        <xdr:cNvSpPr/>
      </xdr:nvSpPr>
      <xdr:spPr>
        <a:xfrm>
          <a:off x="7612380" y="1188720"/>
          <a:ext cx="1371600" cy="4191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Checklists</a:t>
          </a:r>
        </a:p>
      </xdr:txBody>
    </xdr:sp>
    <xdr:clientData/>
  </xdr:twoCellAnchor>
  <xdr:twoCellAnchor>
    <xdr:from>
      <xdr:col>11</xdr:col>
      <xdr:colOff>403860</xdr:colOff>
      <xdr:row>6</xdr:row>
      <xdr:rowOff>99060</xdr:rowOff>
    </xdr:from>
    <xdr:to>
      <xdr:col>13</xdr:col>
      <xdr:colOff>190500</xdr:colOff>
      <xdr:row>8</xdr:row>
      <xdr:rowOff>152400</xdr:rowOff>
    </xdr:to>
    <xdr:sp macro="[0]!Afficher_Equipe_Audit_Methodologie" textlink="">
      <xdr:nvSpPr>
        <xdr:cNvPr id="9" name="onglet_equipe_audit_methodologie">
          <a:extLst>
            <a:ext uri="{FF2B5EF4-FFF2-40B4-BE49-F238E27FC236}">
              <a16:creationId xmlns:a16="http://schemas.microsoft.com/office/drawing/2014/main" id="{1A6D1EAC-0803-4E77-AC4F-05B35BE576C5}"/>
            </a:ext>
          </a:extLst>
        </xdr:cNvPr>
        <xdr:cNvSpPr/>
      </xdr:nvSpPr>
      <xdr:spPr>
        <a:xfrm>
          <a:off x="9121140" y="1196340"/>
          <a:ext cx="1371600" cy="4191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Equipe d’audit</a:t>
          </a:r>
        </a:p>
      </xdr:txBody>
    </xdr:sp>
    <xdr:clientData/>
  </xdr:twoCellAnchor>
  <xdr:twoCellAnchor>
    <xdr:from>
      <xdr:col>13</xdr:col>
      <xdr:colOff>251460</xdr:colOff>
      <xdr:row>6</xdr:row>
      <xdr:rowOff>99060</xdr:rowOff>
    </xdr:from>
    <xdr:to>
      <xdr:col>16</xdr:col>
      <xdr:colOff>251460</xdr:colOff>
      <xdr:row>8</xdr:row>
      <xdr:rowOff>152400</xdr:rowOff>
    </xdr:to>
    <xdr:sp macro="[0]!Afficher_Equipe_Audite_Methodologie" textlink="">
      <xdr:nvSpPr>
        <xdr:cNvPr id="10" name="onglet_equipe_audite_met">
          <a:extLst>
            <a:ext uri="{FF2B5EF4-FFF2-40B4-BE49-F238E27FC236}">
              <a16:creationId xmlns:a16="http://schemas.microsoft.com/office/drawing/2014/main" id="{401DF197-3EE7-4CFC-A54E-637C3817E62C}"/>
            </a:ext>
          </a:extLst>
        </xdr:cNvPr>
        <xdr:cNvSpPr/>
      </xdr:nvSpPr>
      <xdr:spPr>
        <a:xfrm>
          <a:off x="10553700" y="1196340"/>
          <a:ext cx="2377440" cy="4191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Equipe u côté de l’organisme audité</a:t>
          </a:r>
        </a:p>
      </xdr:txBody>
    </xdr:sp>
    <xdr:clientData/>
  </xdr:twoCellAnchor>
  <xdr:twoCellAnchor>
    <xdr:from>
      <xdr:col>16</xdr:col>
      <xdr:colOff>304800</xdr:colOff>
      <xdr:row>6</xdr:row>
      <xdr:rowOff>99060</xdr:rowOff>
    </xdr:from>
    <xdr:to>
      <xdr:col>18</xdr:col>
      <xdr:colOff>685800</xdr:colOff>
      <xdr:row>8</xdr:row>
      <xdr:rowOff>152400</xdr:rowOff>
    </xdr:to>
    <xdr:sp macro="[0]!Afficher_Planning_Audit_Methodologie" textlink="">
      <xdr:nvSpPr>
        <xdr:cNvPr id="11" name="onglet_planning_methodologie">
          <a:extLst>
            <a:ext uri="{FF2B5EF4-FFF2-40B4-BE49-F238E27FC236}">
              <a16:creationId xmlns:a16="http://schemas.microsoft.com/office/drawing/2014/main" id="{C108F713-130E-4767-8E37-020B6007DAFA}"/>
            </a:ext>
          </a:extLst>
        </xdr:cNvPr>
        <xdr:cNvSpPr/>
      </xdr:nvSpPr>
      <xdr:spPr>
        <a:xfrm>
          <a:off x="12984480" y="1196340"/>
          <a:ext cx="1965960" cy="4191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planning d'exécution  </a:t>
          </a:r>
        </a:p>
      </xdr:txBody>
    </xdr:sp>
    <xdr:clientData/>
  </xdr:twoCellAnchor>
  <xdr:twoCellAnchor>
    <xdr:from>
      <xdr:col>1</xdr:col>
      <xdr:colOff>480060</xdr:colOff>
      <xdr:row>14</xdr:row>
      <xdr:rowOff>129540</xdr:rowOff>
    </xdr:from>
    <xdr:to>
      <xdr:col>4</xdr:col>
      <xdr:colOff>556260</xdr:colOff>
      <xdr:row>15</xdr:row>
      <xdr:rowOff>180660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3C07D3A-1FE5-4B0D-18B5-35AA146DFF99}"/>
            </a:ext>
          </a:extLst>
        </xdr:cNvPr>
        <xdr:cNvSpPr/>
      </xdr:nvSpPr>
      <xdr:spPr>
        <a:xfrm>
          <a:off x="1272540" y="2689860"/>
          <a:ext cx="245364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Domaine se sécurité</a:t>
          </a:r>
        </a:p>
      </xdr:txBody>
    </xdr:sp>
    <xdr:clientData/>
  </xdr:twoCellAnchor>
  <xdr:twoCellAnchor>
    <xdr:from>
      <xdr:col>5</xdr:col>
      <xdr:colOff>182880</xdr:colOff>
      <xdr:row>14</xdr:row>
      <xdr:rowOff>121920</xdr:rowOff>
    </xdr:from>
    <xdr:to>
      <xdr:col>7</xdr:col>
      <xdr:colOff>502920</xdr:colOff>
      <xdr:row>15</xdr:row>
      <xdr:rowOff>173040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5EACA078-AF59-B723-2622-21362A301377}"/>
            </a:ext>
          </a:extLst>
        </xdr:cNvPr>
        <xdr:cNvSpPr/>
      </xdr:nvSpPr>
      <xdr:spPr>
        <a:xfrm>
          <a:off x="4145280" y="2682240"/>
          <a:ext cx="190500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Référentiel d'audit (ANCS)</a:t>
          </a:r>
        </a:p>
      </xdr:txBody>
    </xdr:sp>
    <xdr:clientData/>
  </xdr:twoCellAnchor>
  <xdr:twoCellAnchor>
    <xdr:from>
      <xdr:col>8</xdr:col>
      <xdr:colOff>15240</xdr:colOff>
      <xdr:row>14</xdr:row>
      <xdr:rowOff>129540</xdr:rowOff>
    </xdr:from>
    <xdr:to>
      <xdr:col>12</xdr:col>
      <xdr:colOff>60960</xdr:colOff>
      <xdr:row>15</xdr:row>
      <xdr:rowOff>180660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22F7C4C-6ADB-D14C-B718-9FA65E03C30E}"/>
            </a:ext>
          </a:extLst>
        </xdr:cNvPr>
        <xdr:cNvSpPr/>
      </xdr:nvSpPr>
      <xdr:spPr>
        <a:xfrm>
          <a:off x="6355080" y="2689860"/>
          <a:ext cx="321564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Actions auditées</a:t>
          </a:r>
        </a:p>
      </xdr:txBody>
    </xdr:sp>
    <xdr:clientData/>
  </xdr:twoCellAnchor>
  <xdr:twoCellAnchor>
    <xdr:from>
      <xdr:col>3</xdr:col>
      <xdr:colOff>579120</xdr:colOff>
      <xdr:row>213</xdr:row>
      <xdr:rowOff>129540</xdr:rowOff>
    </xdr:from>
    <xdr:to>
      <xdr:col>6</xdr:col>
      <xdr:colOff>152400</xdr:colOff>
      <xdr:row>214</xdr:row>
      <xdr:rowOff>180660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3052988-8221-60F2-C9E2-76A970189585}"/>
            </a:ext>
          </a:extLst>
        </xdr:cNvPr>
        <xdr:cNvSpPr/>
      </xdr:nvSpPr>
      <xdr:spPr>
        <a:xfrm>
          <a:off x="2956560" y="2506980"/>
          <a:ext cx="19507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Domaine de sécurité</a:t>
          </a:r>
        </a:p>
      </xdr:txBody>
    </xdr:sp>
    <xdr:clientData/>
  </xdr:twoCellAnchor>
  <xdr:twoCellAnchor>
    <xdr:from>
      <xdr:col>3</xdr:col>
      <xdr:colOff>586740</xdr:colOff>
      <xdr:row>215</xdr:row>
      <xdr:rowOff>152400</xdr:rowOff>
    </xdr:from>
    <xdr:to>
      <xdr:col>6</xdr:col>
      <xdr:colOff>189300</xdr:colOff>
      <xdr:row>217</xdr:row>
      <xdr:rowOff>20640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E0697A6-EE39-4810-88B8-C2734B30994B}"/>
            </a:ext>
          </a:extLst>
        </xdr:cNvPr>
        <xdr:cNvSpPr/>
      </xdr:nvSpPr>
      <xdr:spPr>
        <a:xfrm>
          <a:off x="2964180" y="2895600"/>
          <a:ext cx="198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Mesures organisationnelles</a:t>
          </a:r>
        </a:p>
      </xdr:txBody>
    </xdr:sp>
    <xdr:clientData/>
  </xdr:twoCellAnchor>
  <xdr:twoCellAnchor>
    <xdr:from>
      <xdr:col>3</xdr:col>
      <xdr:colOff>563880</xdr:colOff>
      <xdr:row>217</xdr:row>
      <xdr:rowOff>160020</xdr:rowOff>
    </xdr:from>
    <xdr:to>
      <xdr:col>6</xdr:col>
      <xdr:colOff>166440</xdr:colOff>
      <xdr:row>219</xdr:row>
      <xdr:rowOff>28260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4B4F082-D90A-49DA-B809-F28918A17523}"/>
            </a:ext>
          </a:extLst>
        </xdr:cNvPr>
        <xdr:cNvSpPr/>
      </xdr:nvSpPr>
      <xdr:spPr>
        <a:xfrm>
          <a:off x="2941320" y="3268980"/>
          <a:ext cx="198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Mesures liées aux personnes</a:t>
          </a:r>
        </a:p>
      </xdr:txBody>
    </xdr:sp>
    <xdr:clientData/>
  </xdr:twoCellAnchor>
  <xdr:twoCellAnchor>
    <xdr:from>
      <xdr:col>3</xdr:col>
      <xdr:colOff>571500</xdr:colOff>
      <xdr:row>219</xdr:row>
      <xdr:rowOff>152400</xdr:rowOff>
    </xdr:from>
    <xdr:to>
      <xdr:col>6</xdr:col>
      <xdr:colOff>174060</xdr:colOff>
      <xdr:row>221</xdr:row>
      <xdr:rowOff>20640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37E48C53-971B-4B31-81D6-974EB3194F80}"/>
            </a:ext>
          </a:extLst>
        </xdr:cNvPr>
        <xdr:cNvSpPr/>
      </xdr:nvSpPr>
      <xdr:spPr>
        <a:xfrm>
          <a:off x="2948940" y="3627120"/>
          <a:ext cx="198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Mesures d'ordre physique</a:t>
          </a:r>
        </a:p>
      </xdr:txBody>
    </xdr:sp>
    <xdr:clientData/>
  </xdr:twoCellAnchor>
  <xdr:twoCellAnchor>
    <xdr:from>
      <xdr:col>3</xdr:col>
      <xdr:colOff>563880</xdr:colOff>
      <xdr:row>221</xdr:row>
      <xdr:rowOff>144780</xdr:rowOff>
    </xdr:from>
    <xdr:to>
      <xdr:col>6</xdr:col>
      <xdr:colOff>166440</xdr:colOff>
      <xdr:row>223</xdr:row>
      <xdr:rowOff>13020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8C47BE9-C6DE-4874-AA8F-0F85296C218F}"/>
            </a:ext>
          </a:extLst>
        </xdr:cNvPr>
        <xdr:cNvSpPr/>
      </xdr:nvSpPr>
      <xdr:spPr>
        <a:xfrm>
          <a:off x="2941320" y="3985260"/>
          <a:ext cx="198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Mesures technologiques</a:t>
          </a:r>
        </a:p>
      </xdr:txBody>
    </xdr:sp>
    <xdr:clientData/>
  </xdr:twoCellAnchor>
  <xdr:twoCellAnchor>
    <xdr:from>
      <xdr:col>10</xdr:col>
      <xdr:colOff>746760</xdr:colOff>
      <xdr:row>213</xdr:row>
      <xdr:rowOff>152400</xdr:rowOff>
    </xdr:from>
    <xdr:to>
      <xdr:col>13</xdr:col>
      <xdr:colOff>320040</xdr:colOff>
      <xdr:row>215</xdr:row>
      <xdr:rowOff>20640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235F66-1CB7-4788-9EB2-2DAF314991E9}"/>
            </a:ext>
          </a:extLst>
        </xdr:cNvPr>
        <xdr:cNvSpPr/>
      </xdr:nvSpPr>
      <xdr:spPr>
        <a:xfrm>
          <a:off x="8671560" y="2529840"/>
          <a:ext cx="19507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Commentaires</a:t>
          </a:r>
        </a:p>
      </xdr:txBody>
    </xdr:sp>
    <xdr:clientData/>
  </xdr:twoCellAnchor>
  <xdr:twoCellAnchor>
    <xdr:from>
      <xdr:col>7</xdr:col>
      <xdr:colOff>228600</xdr:colOff>
      <xdr:row>213</xdr:row>
      <xdr:rowOff>121920</xdr:rowOff>
    </xdr:from>
    <xdr:to>
      <xdr:col>9</xdr:col>
      <xdr:colOff>594360</xdr:colOff>
      <xdr:row>214</xdr:row>
      <xdr:rowOff>173040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BE1CA902-E4D2-4920-AF7F-FE373F2167AE}"/>
            </a:ext>
          </a:extLst>
        </xdr:cNvPr>
        <xdr:cNvSpPr/>
      </xdr:nvSpPr>
      <xdr:spPr>
        <a:xfrm>
          <a:off x="5775960" y="2499360"/>
          <a:ext cx="19507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Maturité des mesures</a:t>
          </a:r>
        </a:p>
      </xdr:txBody>
    </xdr:sp>
    <xdr:clientData/>
  </xdr:twoCellAnchor>
  <xdr:twoCellAnchor>
    <xdr:from>
      <xdr:col>2</xdr:col>
      <xdr:colOff>388620</xdr:colOff>
      <xdr:row>412</xdr:row>
      <xdr:rowOff>152400</xdr:rowOff>
    </xdr:from>
    <xdr:to>
      <xdr:col>4</xdr:col>
      <xdr:colOff>441960</xdr:colOff>
      <xdr:row>414</xdr:row>
      <xdr:rowOff>20640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EE255A1-E206-78B2-5488-466410633CD2}"/>
            </a:ext>
          </a:extLst>
        </xdr:cNvPr>
        <xdr:cNvSpPr/>
      </xdr:nvSpPr>
      <xdr:spPr>
        <a:xfrm>
          <a:off x="1973580" y="2346960"/>
          <a:ext cx="163830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Outil d'audit</a:t>
          </a:r>
        </a:p>
      </xdr:txBody>
    </xdr:sp>
    <xdr:clientData/>
  </xdr:twoCellAnchor>
  <xdr:twoCellAnchor>
    <xdr:from>
      <xdr:col>5</xdr:col>
      <xdr:colOff>388620</xdr:colOff>
      <xdr:row>412</xdr:row>
      <xdr:rowOff>137160</xdr:rowOff>
    </xdr:from>
    <xdr:to>
      <xdr:col>7</xdr:col>
      <xdr:colOff>441960</xdr:colOff>
      <xdr:row>414</xdr:row>
      <xdr:rowOff>5400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84EFBD18-78C0-4253-B240-53AE3488C2B5}"/>
            </a:ext>
          </a:extLst>
        </xdr:cNvPr>
        <xdr:cNvSpPr/>
      </xdr:nvSpPr>
      <xdr:spPr>
        <a:xfrm>
          <a:off x="4351020" y="2331720"/>
          <a:ext cx="163830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Version utilisée</a:t>
          </a:r>
        </a:p>
      </xdr:txBody>
    </xdr:sp>
    <xdr:clientData/>
  </xdr:twoCellAnchor>
  <xdr:twoCellAnchor>
    <xdr:from>
      <xdr:col>7</xdr:col>
      <xdr:colOff>777240</xdr:colOff>
      <xdr:row>412</xdr:row>
      <xdr:rowOff>129540</xdr:rowOff>
    </xdr:from>
    <xdr:to>
      <xdr:col>10</xdr:col>
      <xdr:colOff>38100</xdr:colOff>
      <xdr:row>413</xdr:row>
      <xdr:rowOff>180660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DAA7F64-A884-43A8-ABA7-03F41AED3244}"/>
            </a:ext>
          </a:extLst>
        </xdr:cNvPr>
        <xdr:cNvSpPr/>
      </xdr:nvSpPr>
      <xdr:spPr>
        <a:xfrm>
          <a:off x="6324600" y="2324100"/>
          <a:ext cx="163830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Licence</a:t>
          </a:r>
        </a:p>
      </xdr:txBody>
    </xdr:sp>
    <xdr:clientData/>
  </xdr:twoCellAnchor>
  <xdr:twoCellAnchor>
    <xdr:from>
      <xdr:col>10</xdr:col>
      <xdr:colOff>754380</xdr:colOff>
      <xdr:row>412</xdr:row>
      <xdr:rowOff>144780</xdr:rowOff>
    </xdr:from>
    <xdr:to>
      <xdr:col>13</xdr:col>
      <xdr:colOff>350520</xdr:colOff>
      <xdr:row>414</xdr:row>
      <xdr:rowOff>13020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E3B18A2F-870D-4B88-AFE1-0C64A3C8BD5C}"/>
            </a:ext>
          </a:extLst>
        </xdr:cNvPr>
        <xdr:cNvSpPr/>
      </xdr:nvSpPr>
      <xdr:spPr>
        <a:xfrm>
          <a:off x="8679180" y="2339340"/>
          <a:ext cx="197358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Fonctionnalités principales</a:t>
          </a:r>
        </a:p>
      </xdr:txBody>
    </xdr:sp>
    <xdr:clientData/>
  </xdr:twoCellAnchor>
  <xdr:twoCellAnchor>
    <xdr:from>
      <xdr:col>13</xdr:col>
      <xdr:colOff>784860</xdr:colOff>
      <xdr:row>412</xdr:row>
      <xdr:rowOff>160020</xdr:rowOff>
    </xdr:from>
    <xdr:to>
      <xdr:col>16</xdr:col>
      <xdr:colOff>312420</xdr:colOff>
      <xdr:row>414</xdr:row>
      <xdr:rowOff>15240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C8F8258-132F-43A7-B952-44F21E864017}"/>
            </a:ext>
          </a:extLst>
        </xdr:cNvPr>
        <xdr:cNvSpPr/>
      </xdr:nvSpPr>
      <xdr:spPr>
        <a:xfrm>
          <a:off x="11087100" y="2354580"/>
          <a:ext cx="1905000" cy="22098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Composantes du SI audité</a:t>
          </a:r>
        </a:p>
      </xdr:txBody>
    </xdr:sp>
    <xdr:clientData/>
  </xdr:twoCellAnchor>
  <xdr:twoCellAnchor>
    <xdr:from>
      <xdr:col>1</xdr:col>
      <xdr:colOff>784860</xdr:colOff>
      <xdr:row>1213</xdr:row>
      <xdr:rowOff>129540</xdr:rowOff>
    </xdr:from>
    <xdr:to>
      <xdr:col>4</xdr:col>
      <xdr:colOff>53340</xdr:colOff>
      <xdr:row>1214</xdr:row>
      <xdr:rowOff>180660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B26872EC-62BB-AFBA-0E74-3E01A337FF59}"/>
            </a:ext>
          </a:extLst>
        </xdr:cNvPr>
        <xdr:cNvSpPr/>
      </xdr:nvSpPr>
      <xdr:spPr>
        <a:xfrm>
          <a:off x="1577340" y="2506980"/>
          <a:ext cx="16459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Titre du document</a:t>
          </a:r>
        </a:p>
      </xdr:txBody>
    </xdr:sp>
    <xdr:clientData/>
  </xdr:twoCellAnchor>
  <xdr:twoCellAnchor>
    <xdr:from>
      <xdr:col>4</xdr:col>
      <xdr:colOff>739140</xdr:colOff>
      <xdr:row>1213</xdr:row>
      <xdr:rowOff>129540</xdr:rowOff>
    </xdr:from>
    <xdr:to>
      <xdr:col>7</xdr:col>
      <xdr:colOff>7620</xdr:colOff>
      <xdr:row>1214</xdr:row>
      <xdr:rowOff>180660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6B83520C-3324-4401-A66B-26BED788255D}"/>
            </a:ext>
          </a:extLst>
        </xdr:cNvPr>
        <xdr:cNvSpPr/>
      </xdr:nvSpPr>
      <xdr:spPr>
        <a:xfrm>
          <a:off x="3909060" y="2506980"/>
          <a:ext cx="16459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Version</a:t>
          </a:r>
        </a:p>
      </xdr:txBody>
    </xdr:sp>
    <xdr:clientData/>
  </xdr:twoCellAnchor>
  <xdr:twoCellAnchor>
    <xdr:from>
      <xdr:col>7</xdr:col>
      <xdr:colOff>754380</xdr:colOff>
      <xdr:row>1213</xdr:row>
      <xdr:rowOff>137160</xdr:rowOff>
    </xdr:from>
    <xdr:to>
      <xdr:col>10</xdr:col>
      <xdr:colOff>22860</xdr:colOff>
      <xdr:row>1215</xdr:row>
      <xdr:rowOff>5400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6FA36678-23A7-44E1-A3CA-4A0F933384A3}"/>
            </a:ext>
          </a:extLst>
        </xdr:cNvPr>
        <xdr:cNvSpPr/>
      </xdr:nvSpPr>
      <xdr:spPr>
        <a:xfrm>
          <a:off x="6301740" y="2514600"/>
          <a:ext cx="16459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Source</a:t>
          </a:r>
        </a:p>
      </xdr:txBody>
    </xdr:sp>
    <xdr:clientData/>
  </xdr:twoCellAnchor>
  <xdr:twoCellAnchor>
    <xdr:from>
      <xdr:col>10</xdr:col>
      <xdr:colOff>746760</xdr:colOff>
      <xdr:row>1213</xdr:row>
      <xdr:rowOff>129540</xdr:rowOff>
    </xdr:from>
    <xdr:to>
      <xdr:col>13</xdr:col>
      <xdr:colOff>15240</xdr:colOff>
      <xdr:row>1214</xdr:row>
      <xdr:rowOff>180660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2F58886F-5CB8-492B-B755-462CD7DD64BF}"/>
            </a:ext>
          </a:extLst>
        </xdr:cNvPr>
        <xdr:cNvSpPr/>
      </xdr:nvSpPr>
      <xdr:spPr>
        <a:xfrm>
          <a:off x="8671560" y="2506980"/>
          <a:ext cx="16459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Description</a:t>
          </a:r>
        </a:p>
      </xdr:txBody>
    </xdr:sp>
    <xdr:clientData/>
  </xdr:twoCellAnchor>
  <xdr:twoCellAnchor>
    <xdr:from>
      <xdr:col>13</xdr:col>
      <xdr:colOff>739140</xdr:colOff>
      <xdr:row>1213</xdr:row>
      <xdr:rowOff>137160</xdr:rowOff>
    </xdr:from>
    <xdr:to>
      <xdr:col>16</xdr:col>
      <xdr:colOff>228600</xdr:colOff>
      <xdr:row>1215</xdr:row>
      <xdr:rowOff>5400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BDC2AA30-F6DA-4519-8B92-4E5388234540}"/>
            </a:ext>
          </a:extLst>
        </xdr:cNvPr>
        <xdr:cNvSpPr/>
      </xdr:nvSpPr>
      <xdr:spPr>
        <a:xfrm>
          <a:off x="11041380" y="2514600"/>
          <a:ext cx="186690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Composantes du SI audité</a:t>
          </a:r>
        </a:p>
      </xdr:txBody>
    </xdr:sp>
    <xdr:clientData/>
  </xdr:twoCellAnchor>
  <xdr:twoCellAnchor>
    <xdr:from>
      <xdr:col>2</xdr:col>
      <xdr:colOff>434340</xdr:colOff>
      <xdr:row>612</xdr:row>
      <xdr:rowOff>144780</xdr:rowOff>
    </xdr:from>
    <xdr:to>
      <xdr:col>5</xdr:col>
      <xdr:colOff>7620</xdr:colOff>
      <xdr:row>614</xdr:row>
      <xdr:rowOff>30480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3981B0AD-DA6D-1DB2-582C-94D853662AD6}"/>
            </a:ext>
          </a:extLst>
        </xdr:cNvPr>
        <xdr:cNvSpPr/>
      </xdr:nvSpPr>
      <xdr:spPr>
        <a:xfrm>
          <a:off x="2019300" y="2339340"/>
          <a:ext cx="195072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 Prénom</a:t>
          </a:r>
        </a:p>
      </xdr:txBody>
    </xdr:sp>
    <xdr:clientData/>
  </xdr:twoCellAnchor>
  <xdr:twoCellAnchor>
    <xdr:from>
      <xdr:col>5</xdr:col>
      <xdr:colOff>701040</xdr:colOff>
      <xdr:row>612</xdr:row>
      <xdr:rowOff>152400</xdr:rowOff>
    </xdr:from>
    <xdr:to>
      <xdr:col>8</xdr:col>
      <xdr:colOff>22860</xdr:colOff>
      <xdr:row>614</xdr:row>
      <xdr:rowOff>38100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17180745-4C87-4DA5-9166-91B14B0925C0}"/>
            </a:ext>
          </a:extLst>
        </xdr:cNvPr>
        <xdr:cNvSpPr/>
      </xdr:nvSpPr>
      <xdr:spPr>
        <a:xfrm>
          <a:off x="4663440" y="2346960"/>
          <a:ext cx="169926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Qualité</a:t>
          </a:r>
        </a:p>
      </xdr:txBody>
    </xdr:sp>
    <xdr:clientData/>
  </xdr:twoCellAnchor>
  <xdr:twoCellAnchor>
    <xdr:from>
      <xdr:col>8</xdr:col>
      <xdr:colOff>678180</xdr:colOff>
      <xdr:row>612</xdr:row>
      <xdr:rowOff>160020</xdr:rowOff>
    </xdr:from>
    <xdr:to>
      <xdr:col>10</xdr:col>
      <xdr:colOff>708660</xdr:colOff>
      <xdr:row>614</xdr:row>
      <xdr:rowOff>45720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54A25FE4-235A-4AAF-B55F-1FB19B21D2E2}"/>
            </a:ext>
          </a:extLst>
        </xdr:cNvPr>
        <xdr:cNvSpPr/>
      </xdr:nvSpPr>
      <xdr:spPr>
        <a:xfrm>
          <a:off x="7018020" y="2354580"/>
          <a:ext cx="161544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Qualification</a:t>
          </a:r>
        </a:p>
      </xdr:txBody>
    </xdr:sp>
    <xdr:clientData/>
  </xdr:twoCellAnchor>
  <xdr:twoCellAnchor>
    <xdr:from>
      <xdr:col>11</xdr:col>
      <xdr:colOff>403860</xdr:colOff>
      <xdr:row>612</xdr:row>
      <xdr:rowOff>144780</xdr:rowOff>
    </xdr:from>
    <xdr:to>
      <xdr:col>13</xdr:col>
      <xdr:colOff>381000</xdr:colOff>
      <xdr:row>614</xdr:row>
      <xdr:rowOff>30480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7AC366D0-AB8F-4918-B67A-5766C04885CF}"/>
            </a:ext>
          </a:extLst>
        </xdr:cNvPr>
        <xdr:cNvSpPr/>
      </xdr:nvSpPr>
      <xdr:spPr>
        <a:xfrm>
          <a:off x="9121140" y="2339340"/>
          <a:ext cx="156210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Certifié par l'ANCS</a:t>
          </a:r>
        </a:p>
      </xdr:txBody>
    </xdr:sp>
    <xdr:clientData/>
  </xdr:twoCellAnchor>
  <xdr:twoCellAnchor>
    <xdr:from>
      <xdr:col>13</xdr:col>
      <xdr:colOff>784860</xdr:colOff>
      <xdr:row>612</xdr:row>
      <xdr:rowOff>152400</xdr:rowOff>
    </xdr:from>
    <xdr:to>
      <xdr:col>16</xdr:col>
      <xdr:colOff>99060</xdr:colOff>
      <xdr:row>614</xdr:row>
      <xdr:rowOff>38100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A9CE1B84-D310-437F-A0E8-3537BA70FEB6}"/>
            </a:ext>
          </a:extLst>
        </xdr:cNvPr>
        <xdr:cNvSpPr/>
      </xdr:nvSpPr>
      <xdr:spPr>
        <a:xfrm>
          <a:off x="11087100" y="2346960"/>
          <a:ext cx="1691640" cy="2514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Champs d'intervention</a:t>
          </a:r>
        </a:p>
      </xdr:txBody>
    </xdr:sp>
    <xdr:clientData/>
  </xdr:twoCellAnchor>
  <xdr:twoCellAnchor>
    <xdr:from>
      <xdr:col>4</xdr:col>
      <xdr:colOff>0</xdr:colOff>
      <xdr:row>813</xdr:row>
      <xdr:rowOff>167640</xdr:rowOff>
    </xdr:from>
    <xdr:to>
      <xdr:col>6</xdr:col>
      <xdr:colOff>60960</xdr:colOff>
      <xdr:row>815</xdr:row>
      <xdr:rowOff>35880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81E4DD71-D033-1BFE-334B-B8FD122E9C42}"/>
            </a:ext>
          </a:extLst>
        </xdr:cNvPr>
        <xdr:cNvSpPr/>
      </xdr:nvSpPr>
      <xdr:spPr>
        <a:xfrm>
          <a:off x="3169920" y="2545080"/>
          <a:ext cx="16459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 Prénom</a:t>
          </a:r>
        </a:p>
      </xdr:txBody>
    </xdr:sp>
    <xdr:clientData/>
  </xdr:twoCellAnchor>
  <xdr:twoCellAnchor>
    <xdr:from>
      <xdr:col>11</xdr:col>
      <xdr:colOff>777240</xdr:colOff>
      <xdr:row>813</xdr:row>
      <xdr:rowOff>175260</xdr:rowOff>
    </xdr:from>
    <xdr:to>
      <xdr:col>14</xdr:col>
      <xdr:colOff>45720</xdr:colOff>
      <xdr:row>815</xdr:row>
      <xdr:rowOff>43500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9865643-4E30-457E-A7FE-603C05D9314D}"/>
            </a:ext>
          </a:extLst>
        </xdr:cNvPr>
        <xdr:cNvSpPr/>
      </xdr:nvSpPr>
      <xdr:spPr>
        <a:xfrm>
          <a:off x="9494520" y="2552700"/>
          <a:ext cx="16459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Fonction</a:t>
          </a:r>
        </a:p>
      </xdr:txBody>
    </xdr:sp>
    <xdr:clientData/>
  </xdr:twoCellAnchor>
  <xdr:twoCellAnchor>
    <xdr:from>
      <xdr:col>7</xdr:col>
      <xdr:colOff>784860</xdr:colOff>
      <xdr:row>813</xdr:row>
      <xdr:rowOff>160020</xdr:rowOff>
    </xdr:from>
    <xdr:to>
      <xdr:col>10</xdr:col>
      <xdr:colOff>53340</xdr:colOff>
      <xdr:row>815</xdr:row>
      <xdr:rowOff>28260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FDA87FA2-341A-4DC0-8179-CF272D8D1FFD}"/>
            </a:ext>
          </a:extLst>
        </xdr:cNvPr>
        <xdr:cNvSpPr/>
      </xdr:nvSpPr>
      <xdr:spPr>
        <a:xfrm>
          <a:off x="6332220" y="2537460"/>
          <a:ext cx="1645920" cy="2340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Qualité</a:t>
          </a:r>
        </a:p>
      </xdr:txBody>
    </xdr:sp>
    <xdr:clientData/>
  </xdr:twoCellAnchor>
  <xdr:twoCellAnchor>
    <xdr:from>
      <xdr:col>0</xdr:col>
      <xdr:colOff>594360</xdr:colOff>
      <xdr:row>1013</xdr:row>
      <xdr:rowOff>144780</xdr:rowOff>
    </xdr:from>
    <xdr:to>
      <xdr:col>4</xdr:col>
      <xdr:colOff>763680</xdr:colOff>
      <xdr:row>1015</xdr:row>
      <xdr:rowOff>15240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BB988997-B058-9EA4-3BEB-25F4E840129F}"/>
            </a:ext>
          </a:extLst>
        </xdr:cNvPr>
        <xdr:cNvSpPr/>
      </xdr:nvSpPr>
      <xdr:spPr>
        <a:xfrm>
          <a:off x="594360" y="2522220"/>
          <a:ext cx="333924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Phase</a:t>
          </a:r>
        </a:p>
      </xdr:txBody>
    </xdr:sp>
    <xdr:clientData/>
  </xdr:twoCellAnchor>
  <xdr:twoCellAnchor>
    <xdr:from>
      <xdr:col>21</xdr:col>
      <xdr:colOff>774834</xdr:colOff>
      <xdr:row>1013</xdr:row>
      <xdr:rowOff>129541</xdr:rowOff>
    </xdr:from>
    <xdr:to>
      <xdr:col>25</xdr:col>
      <xdr:colOff>736734</xdr:colOff>
      <xdr:row>1014</xdr:row>
      <xdr:rowOff>180661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CFD058D5-3D0B-40A2-8CAA-C268F918AC5F}"/>
            </a:ext>
          </a:extLst>
        </xdr:cNvPr>
        <xdr:cNvSpPr/>
      </xdr:nvSpPr>
      <xdr:spPr>
        <a:xfrm>
          <a:off x="17450602" y="2527836"/>
          <a:ext cx="3138237" cy="235604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Durée en Hommes/jours pour chaque intervenant</a:t>
          </a:r>
        </a:p>
      </xdr:txBody>
    </xdr:sp>
    <xdr:clientData/>
  </xdr:twoCellAnchor>
  <xdr:twoCellAnchor>
    <xdr:from>
      <xdr:col>19</xdr:col>
      <xdr:colOff>728313</xdr:colOff>
      <xdr:row>1013</xdr:row>
      <xdr:rowOff>120715</xdr:rowOff>
    </xdr:from>
    <xdr:to>
      <xdr:col>21</xdr:col>
      <xdr:colOff>80212</xdr:colOff>
      <xdr:row>1015</xdr:row>
      <xdr:rowOff>24062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DA91CAF5-D560-425A-8B93-42BC3FE5EFE6}"/>
            </a:ext>
          </a:extLst>
        </xdr:cNvPr>
        <xdr:cNvSpPr/>
      </xdr:nvSpPr>
      <xdr:spPr>
        <a:xfrm>
          <a:off x="15815913" y="2519010"/>
          <a:ext cx="940067" cy="272315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Sur site</a:t>
          </a:r>
        </a:p>
      </xdr:txBody>
    </xdr:sp>
    <xdr:clientData/>
  </xdr:twoCellAnchor>
  <xdr:twoCellAnchor>
    <xdr:from>
      <xdr:col>16</xdr:col>
      <xdr:colOff>724302</xdr:colOff>
      <xdr:row>1013</xdr:row>
      <xdr:rowOff>136358</xdr:rowOff>
    </xdr:from>
    <xdr:to>
      <xdr:col>19</xdr:col>
      <xdr:colOff>29277</xdr:colOff>
      <xdr:row>1015</xdr:row>
      <xdr:rowOff>4598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72A91C0B-A45D-4AD7-BFC4-CEB30810C0DC}"/>
            </a:ext>
          </a:extLst>
        </xdr:cNvPr>
        <xdr:cNvSpPr/>
      </xdr:nvSpPr>
      <xdr:spPr>
        <a:xfrm>
          <a:off x="13429649" y="2534653"/>
          <a:ext cx="1687228" cy="237208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Période</a:t>
          </a:r>
        </a:p>
      </xdr:txBody>
    </xdr:sp>
    <xdr:clientData/>
  </xdr:twoCellAnchor>
  <xdr:twoCellAnchor>
    <xdr:from>
      <xdr:col>13</xdr:col>
      <xdr:colOff>770020</xdr:colOff>
      <xdr:row>1013</xdr:row>
      <xdr:rowOff>121118</xdr:rowOff>
    </xdr:from>
    <xdr:to>
      <xdr:col>16</xdr:col>
      <xdr:colOff>76601</xdr:colOff>
      <xdr:row>1014</xdr:row>
      <xdr:rowOff>173842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533F46D9-0F14-448A-A360-87DF4BD3CC8C}"/>
            </a:ext>
          </a:extLst>
        </xdr:cNvPr>
        <xdr:cNvSpPr/>
      </xdr:nvSpPr>
      <xdr:spPr>
        <a:xfrm>
          <a:off x="11093115" y="2519413"/>
          <a:ext cx="1688833" cy="237208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Date de fin</a:t>
          </a:r>
        </a:p>
      </xdr:txBody>
    </xdr:sp>
    <xdr:clientData/>
  </xdr:twoCellAnchor>
  <xdr:twoCellAnchor>
    <xdr:from>
      <xdr:col>10</xdr:col>
      <xdr:colOff>785262</xdr:colOff>
      <xdr:row>1013</xdr:row>
      <xdr:rowOff>129139</xdr:rowOff>
    </xdr:from>
    <xdr:to>
      <xdr:col>13</xdr:col>
      <xdr:colOff>91841</xdr:colOff>
      <xdr:row>1014</xdr:row>
      <xdr:rowOff>181863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574DFB91-1BED-4C5B-A82C-532AC507CCF5}"/>
            </a:ext>
          </a:extLst>
        </xdr:cNvPr>
        <xdr:cNvSpPr/>
      </xdr:nvSpPr>
      <xdr:spPr>
        <a:xfrm>
          <a:off x="8726104" y="2527434"/>
          <a:ext cx="1688832" cy="237208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Date de début</a:t>
          </a:r>
        </a:p>
      </xdr:txBody>
    </xdr:sp>
    <xdr:clientData/>
  </xdr:twoCellAnchor>
  <xdr:twoCellAnchor>
    <xdr:from>
      <xdr:col>5</xdr:col>
      <xdr:colOff>771625</xdr:colOff>
      <xdr:row>1013</xdr:row>
      <xdr:rowOff>153202</xdr:rowOff>
    </xdr:from>
    <xdr:to>
      <xdr:col>10</xdr:col>
      <xdr:colOff>40105</xdr:colOff>
      <xdr:row>1015</xdr:row>
      <xdr:rowOff>24063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8D84E6FB-04F9-4322-B698-B05A1B05410D}"/>
            </a:ext>
          </a:extLst>
        </xdr:cNvPr>
        <xdr:cNvSpPr/>
      </xdr:nvSpPr>
      <xdr:spPr>
        <a:xfrm>
          <a:off x="4742046" y="2551497"/>
          <a:ext cx="3238901" cy="239829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Objet de la sous-phase</a:t>
          </a:r>
        </a:p>
      </xdr:txBody>
    </xdr:sp>
    <xdr:clientData/>
  </xdr:twoCellAnchor>
  <xdr:twoCellAnchor>
    <xdr:from>
      <xdr:col>1</xdr:col>
      <xdr:colOff>647700</xdr:colOff>
      <xdr:row>17</xdr:row>
      <xdr:rowOff>83820</xdr:rowOff>
    </xdr:from>
    <xdr:to>
      <xdr:col>4</xdr:col>
      <xdr:colOff>250260</xdr:colOff>
      <xdr:row>18</xdr:row>
      <xdr:rowOff>134940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8F307051-E72B-5A06-559C-F126CC1CA726}"/>
            </a:ext>
          </a:extLst>
        </xdr:cNvPr>
        <xdr:cNvSpPr/>
      </xdr:nvSpPr>
      <xdr:spPr>
        <a:xfrm>
          <a:off x="1440180" y="3192780"/>
          <a:ext cx="198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Mesures organisationnelles</a:t>
          </a:r>
        </a:p>
      </xdr:txBody>
    </xdr:sp>
    <xdr:clientData/>
  </xdr:twoCellAnchor>
  <xdr:twoCellAnchor>
    <xdr:from>
      <xdr:col>1</xdr:col>
      <xdr:colOff>655320</xdr:colOff>
      <xdr:row>19</xdr:row>
      <xdr:rowOff>91440</xdr:rowOff>
    </xdr:from>
    <xdr:to>
      <xdr:col>4</xdr:col>
      <xdr:colOff>257880</xdr:colOff>
      <xdr:row>20</xdr:row>
      <xdr:rowOff>142560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276CED7B-1F29-48BD-8BAC-501418BC4A83}"/>
            </a:ext>
          </a:extLst>
        </xdr:cNvPr>
        <xdr:cNvSpPr/>
      </xdr:nvSpPr>
      <xdr:spPr>
        <a:xfrm>
          <a:off x="1447800" y="3566160"/>
          <a:ext cx="198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Mesures liées aux personnes</a:t>
          </a:r>
        </a:p>
      </xdr:txBody>
    </xdr:sp>
    <xdr:clientData/>
  </xdr:twoCellAnchor>
  <xdr:twoCellAnchor>
    <xdr:from>
      <xdr:col>1</xdr:col>
      <xdr:colOff>647700</xdr:colOff>
      <xdr:row>21</xdr:row>
      <xdr:rowOff>106680</xdr:rowOff>
    </xdr:from>
    <xdr:to>
      <xdr:col>4</xdr:col>
      <xdr:colOff>250260</xdr:colOff>
      <xdr:row>22</xdr:row>
      <xdr:rowOff>157800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50965070-91BE-4700-823F-F3649842E989}"/>
            </a:ext>
          </a:extLst>
        </xdr:cNvPr>
        <xdr:cNvSpPr/>
      </xdr:nvSpPr>
      <xdr:spPr>
        <a:xfrm>
          <a:off x="1440180" y="3947160"/>
          <a:ext cx="198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Mesures d'ordre physique</a:t>
          </a:r>
        </a:p>
      </xdr:txBody>
    </xdr:sp>
    <xdr:clientData/>
  </xdr:twoCellAnchor>
  <xdr:twoCellAnchor>
    <xdr:from>
      <xdr:col>1</xdr:col>
      <xdr:colOff>647700</xdr:colOff>
      <xdr:row>23</xdr:row>
      <xdr:rowOff>144780</xdr:rowOff>
    </xdr:from>
    <xdr:to>
      <xdr:col>4</xdr:col>
      <xdr:colOff>250260</xdr:colOff>
      <xdr:row>25</xdr:row>
      <xdr:rowOff>13020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488024DC-EDED-4DF5-A418-815A806AB60C}"/>
            </a:ext>
          </a:extLst>
        </xdr:cNvPr>
        <xdr:cNvSpPr/>
      </xdr:nvSpPr>
      <xdr:spPr>
        <a:xfrm>
          <a:off x="1440180" y="4351020"/>
          <a:ext cx="198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Mesures technologiques</a:t>
          </a:r>
        </a:p>
      </xdr:txBody>
    </xdr:sp>
    <xdr:clientData/>
  </xdr:twoCellAnchor>
  <xdr:twoCellAnchor>
    <xdr:from>
      <xdr:col>0</xdr:col>
      <xdr:colOff>297180</xdr:colOff>
      <xdr:row>216</xdr:row>
      <xdr:rowOff>7620</xdr:rowOff>
    </xdr:from>
    <xdr:to>
      <xdr:col>2</xdr:col>
      <xdr:colOff>266700</xdr:colOff>
      <xdr:row>217</xdr:row>
      <xdr:rowOff>129540</xdr:rowOff>
    </xdr:to>
    <xdr:sp macro="[0]!SynchroniserResultatsAudit" textlink="">
      <xdr:nvSpPr>
        <xdr:cNvPr id="51" name="Rectangle : coins arrondis 50">
          <a:extLst>
            <a:ext uri="{FF2B5EF4-FFF2-40B4-BE49-F238E27FC236}">
              <a16:creationId xmlns:a16="http://schemas.microsoft.com/office/drawing/2014/main" id="{A423235F-0823-8E5D-5EA1-B2E4B20A5717}"/>
            </a:ext>
          </a:extLst>
        </xdr:cNvPr>
        <xdr:cNvSpPr/>
      </xdr:nvSpPr>
      <xdr:spPr>
        <a:xfrm>
          <a:off x="297180" y="2933700"/>
          <a:ext cx="1554480" cy="30480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Appliquer </a:t>
          </a:r>
        </a:p>
      </xdr:txBody>
    </xdr:sp>
    <xdr:clientData/>
  </xdr:twoCellAnchor>
  <xdr:twoCellAnchor>
    <xdr:from>
      <xdr:col>2</xdr:col>
      <xdr:colOff>144780</xdr:colOff>
      <xdr:row>1016</xdr:row>
      <xdr:rowOff>152400</xdr:rowOff>
    </xdr:from>
    <xdr:to>
      <xdr:col>4</xdr:col>
      <xdr:colOff>719820</xdr:colOff>
      <xdr:row>1018</xdr:row>
      <xdr:rowOff>20640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3EAF46A-6970-1518-C6BD-BBAB1FE05ECA}"/>
            </a:ext>
          </a:extLst>
        </xdr:cNvPr>
        <xdr:cNvSpPr/>
      </xdr:nvSpPr>
      <xdr:spPr>
        <a:xfrm>
          <a:off x="1729740" y="3078480"/>
          <a:ext cx="216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Déclenchement de l'Audit</a:t>
          </a:r>
        </a:p>
      </xdr:txBody>
    </xdr:sp>
    <xdr:clientData/>
  </xdr:twoCellAnchor>
  <xdr:twoCellAnchor>
    <xdr:from>
      <xdr:col>2</xdr:col>
      <xdr:colOff>144780</xdr:colOff>
      <xdr:row>1018</xdr:row>
      <xdr:rowOff>129540</xdr:rowOff>
    </xdr:from>
    <xdr:to>
      <xdr:col>4</xdr:col>
      <xdr:colOff>719820</xdr:colOff>
      <xdr:row>1019</xdr:row>
      <xdr:rowOff>180660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900D4C28-317E-4D57-88D0-2F467E3198D8}"/>
            </a:ext>
          </a:extLst>
        </xdr:cNvPr>
        <xdr:cNvSpPr/>
      </xdr:nvSpPr>
      <xdr:spPr>
        <a:xfrm>
          <a:off x="1729740" y="3421380"/>
          <a:ext cx="216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Audit Organisationnel et Physique</a:t>
          </a:r>
        </a:p>
      </xdr:txBody>
    </xdr:sp>
    <xdr:clientData/>
  </xdr:twoCellAnchor>
  <xdr:twoCellAnchor>
    <xdr:from>
      <xdr:col>2</xdr:col>
      <xdr:colOff>144780</xdr:colOff>
      <xdr:row>1020</xdr:row>
      <xdr:rowOff>129540</xdr:rowOff>
    </xdr:from>
    <xdr:to>
      <xdr:col>4</xdr:col>
      <xdr:colOff>719820</xdr:colOff>
      <xdr:row>1021</xdr:row>
      <xdr:rowOff>180660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78D90B27-E70A-43D9-9FDD-B8CCE1492AA8}"/>
            </a:ext>
          </a:extLst>
        </xdr:cNvPr>
        <xdr:cNvSpPr/>
      </xdr:nvSpPr>
      <xdr:spPr>
        <a:xfrm>
          <a:off x="1729740" y="3787140"/>
          <a:ext cx="216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Appréciation des Risques</a:t>
          </a:r>
        </a:p>
      </xdr:txBody>
    </xdr:sp>
    <xdr:clientData/>
  </xdr:twoCellAnchor>
  <xdr:twoCellAnchor>
    <xdr:from>
      <xdr:col>2</xdr:col>
      <xdr:colOff>144780</xdr:colOff>
      <xdr:row>1022</xdr:row>
      <xdr:rowOff>137160</xdr:rowOff>
    </xdr:from>
    <xdr:to>
      <xdr:col>4</xdr:col>
      <xdr:colOff>719820</xdr:colOff>
      <xdr:row>1024</xdr:row>
      <xdr:rowOff>5400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C8DC4749-E8E6-457C-9AD6-8CF3F92F354A}"/>
            </a:ext>
          </a:extLst>
        </xdr:cNvPr>
        <xdr:cNvSpPr/>
      </xdr:nvSpPr>
      <xdr:spPr>
        <a:xfrm>
          <a:off x="1729740" y="4160520"/>
          <a:ext cx="216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Audit Technique</a:t>
          </a:r>
        </a:p>
      </xdr:txBody>
    </xdr:sp>
    <xdr:clientData/>
  </xdr:twoCellAnchor>
  <xdr:twoCellAnchor>
    <xdr:from>
      <xdr:col>2</xdr:col>
      <xdr:colOff>144780</xdr:colOff>
      <xdr:row>1024</xdr:row>
      <xdr:rowOff>144780</xdr:rowOff>
    </xdr:from>
    <xdr:to>
      <xdr:col>4</xdr:col>
      <xdr:colOff>719820</xdr:colOff>
      <xdr:row>1026</xdr:row>
      <xdr:rowOff>13020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2278C94E-C77D-4C57-9611-378BC80872D0}"/>
            </a:ext>
          </a:extLst>
        </xdr:cNvPr>
        <xdr:cNvSpPr/>
      </xdr:nvSpPr>
      <xdr:spPr>
        <a:xfrm>
          <a:off x="1729740" y="4533900"/>
          <a:ext cx="216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 Sensibilisation Post-Audit6</a:t>
          </a:r>
        </a:p>
        <a:p>
          <a:pPr algn="ctr"/>
          <a:endParaRPr lang="fr-FR" sz="1100"/>
        </a:p>
      </xdr:txBody>
    </xdr:sp>
    <xdr:clientData/>
  </xdr:twoCellAnchor>
  <xdr:twoCellAnchor>
    <xdr:from>
      <xdr:col>2</xdr:col>
      <xdr:colOff>144780</xdr:colOff>
      <xdr:row>1026</xdr:row>
      <xdr:rowOff>144780</xdr:rowOff>
    </xdr:from>
    <xdr:to>
      <xdr:col>4</xdr:col>
      <xdr:colOff>719820</xdr:colOff>
      <xdr:row>1028</xdr:row>
      <xdr:rowOff>13020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B2D204C4-C0DA-4F8D-97B8-43EA3CC939BC}"/>
            </a:ext>
          </a:extLst>
        </xdr:cNvPr>
        <xdr:cNvSpPr/>
      </xdr:nvSpPr>
      <xdr:spPr>
        <a:xfrm>
          <a:off x="1729740" y="4899660"/>
          <a:ext cx="216000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 Préparation du Rapport d'Audit</a:t>
          </a:r>
        </a:p>
      </xdr:txBody>
    </xdr:sp>
    <xdr:clientData/>
  </xdr:twoCellAnchor>
  <xdr:twoCellAnchor>
    <xdr:from>
      <xdr:col>0</xdr:col>
      <xdr:colOff>632059</xdr:colOff>
      <xdr:row>1016</xdr:row>
      <xdr:rowOff>160020</xdr:rowOff>
    </xdr:from>
    <xdr:to>
      <xdr:col>1</xdr:col>
      <xdr:colOff>746359</xdr:colOff>
      <xdr:row>1018</xdr:row>
      <xdr:rowOff>28260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500CA2F1-150A-C4FE-1340-E5986FFE625F}"/>
            </a:ext>
          </a:extLst>
        </xdr:cNvPr>
        <xdr:cNvSpPr/>
      </xdr:nvSpPr>
      <xdr:spPr>
        <a:xfrm>
          <a:off x="632059" y="3111767"/>
          <a:ext cx="908384" cy="23720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Phase 0 </a:t>
          </a:r>
          <a:endParaRPr lang="fr-FR" sz="1100"/>
        </a:p>
      </xdr:txBody>
    </xdr:sp>
    <xdr:clientData/>
  </xdr:twoCellAnchor>
  <xdr:twoCellAnchor>
    <xdr:from>
      <xdr:col>0</xdr:col>
      <xdr:colOff>617220</xdr:colOff>
      <xdr:row>1018</xdr:row>
      <xdr:rowOff>144780</xdr:rowOff>
    </xdr:from>
    <xdr:to>
      <xdr:col>1</xdr:col>
      <xdr:colOff>731520</xdr:colOff>
      <xdr:row>1020</xdr:row>
      <xdr:rowOff>13020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164D58A0-7026-4895-967A-C718A839E798}"/>
            </a:ext>
          </a:extLst>
        </xdr:cNvPr>
        <xdr:cNvSpPr/>
      </xdr:nvSpPr>
      <xdr:spPr>
        <a:xfrm>
          <a:off x="617220" y="3436620"/>
          <a:ext cx="90678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Phase</a:t>
          </a: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fr-FR" sz="1100"/>
        </a:p>
      </xdr:txBody>
    </xdr:sp>
    <xdr:clientData/>
  </xdr:twoCellAnchor>
  <xdr:twoCellAnchor>
    <xdr:from>
      <xdr:col>0</xdr:col>
      <xdr:colOff>617220</xdr:colOff>
      <xdr:row>1020</xdr:row>
      <xdr:rowOff>144780</xdr:rowOff>
    </xdr:from>
    <xdr:to>
      <xdr:col>1</xdr:col>
      <xdr:colOff>731520</xdr:colOff>
      <xdr:row>1022</xdr:row>
      <xdr:rowOff>13020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9F6C0B2E-952C-421C-8CBE-83F73295148B}"/>
            </a:ext>
          </a:extLst>
        </xdr:cNvPr>
        <xdr:cNvSpPr/>
      </xdr:nvSpPr>
      <xdr:spPr>
        <a:xfrm>
          <a:off x="617220" y="3802380"/>
          <a:ext cx="90678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Phase 2</a:t>
          </a:r>
          <a:endParaRPr lang="fr-FR" sz="1100"/>
        </a:p>
      </xdr:txBody>
    </xdr:sp>
    <xdr:clientData/>
  </xdr:twoCellAnchor>
  <xdr:twoCellAnchor>
    <xdr:from>
      <xdr:col>0</xdr:col>
      <xdr:colOff>601980</xdr:colOff>
      <xdr:row>1022</xdr:row>
      <xdr:rowOff>152400</xdr:rowOff>
    </xdr:from>
    <xdr:to>
      <xdr:col>1</xdr:col>
      <xdr:colOff>716280</xdr:colOff>
      <xdr:row>1024</xdr:row>
      <xdr:rowOff>20640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377536CB-1302-464B-B77F-18A2794529ED}"/>
            </a:ext>
          </a:extLst>
        </xdr:cNvPr>
        <xdr:cNvSpPr/>
      </xdr:nvSpPr>
      <xdr:spPr>
        <a:xfrm>
          <a:off x="601980" y="4175760"/>
          <a:ext cx="90678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Phase 3</a:t>
          </a:r>
          <a:endParaRPr lang="fr-FR" sz="1100"/>
        </a:p>
      </xdr:txBody>
    </xdr:sp>
    <xdr:clientData/>
  </xdr:twoCellAnchor>
  <xdr:twoCellAnchor>
    <xdr:from>
      <xdr:col>0</xdr:col>
      <xdr:colOff>632460</xdr:colOff>
      <xdr:row>1024</xdr:row>
      <xdr:rowOff>137160</xdr:rowOff>
    </xdr:from>
    <xdr:to>
      <xdr:col>1</xdr:col>
      <xdr:colOff>746760</xdr:colOff>
      <xdr:row>1026</xdr:row>
      <xdr:rowOff>5400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0AA31E7-727C-4556-B223-9B78AE91FC24}"/>
            </a:ext>
          </a:extLst>
        </xdr:cNvPr>
        <xdr:cNvSpPr/>
      </xdr:nvSpPr>
      <xdr:spPr>
        <a:xfrm>
          <a:off x="632460" y="4526280"/>
          <a:ext cx="906780" cy="2340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Phase</a:t>
          </a: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4</a:t>
          </a:r>
          <a:endParaRPr lang="fr-FR" sz="1100"/>
        </a:p>
      </xdr:txBody>
    </xdr:sp>
    <xdr:clientData/>
  </xdr:twoCellAnchor>
  <xdr:twoCellAnchor>
    <xdr:from>
      <xdr:col>0</xdr:col>
      <xdr:colOff>616017</xdr:colOff>
      <xdr:row>1026</xdr:row>
      <xdr:rowOff>144780</xdr:rowOff>
    </xdr:from>
    <xdr:to>
      <xdr:col>1</xdr:col>
      <xdr:colOff>730317</xdr:colOff>
      <xdr:row>1028</xdr:row>
      <xdr:rowOff>13020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C03C9D97-AD10-4991-9B68-4266A95223A6}"/>
            </a:ext>
          </a:extLst>
        </xdr:cNvPr>
        <xdr:cNvSpPr/>
      </xdr:nvSpPr>
      <xdr:spPr>
        <a:xfrm>
          <a:off x="616017" y="4941369"/>
          <a:ext cx="908384" cy="237209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Phase 5</a:t>
          </a:r>
          <a:endParaRPr lang="fr-FR" sz="1100"/>
        </a:p>
      </xdr:txBody>
    </xdr:sp>
    <xdr:clientData/>
  </xdr:twoCellAnchor>
  <xdr:twoCellAnchor>
    <xdr:from>
      <xdr:col>0</xdr:col>
      <xdr:colOff>577516</xdr:colOff>
      <xdr:row>1028</xdr:row>
      <xdr:rowOff>153625</xdr:rowOff>
    </xdr:from>
    <xdr:to>
      <xdr:col>21</xdr:col>
      <xdr:colOff>713876</xdr:colOff>
      <xdr:row>1030</xdr:row>
      <xdr:rowOff>56148</xdr:rowOff>
    </xdr:to>
    <xdr:sp macro="[0]!DureeTotaleMission_Methodologie" textlink="">
      <xdr:nvSpPr>
        <xdr:cNvPr id="64" name="Rectangle 63">
          <a:extLst>
            <a:ext uri="{FF2B5EF4-FFF2-40B4-BE49-F238E27FC236}">
              <a16:creationId xmlns:a16="http://schemas.microsoft.com/office/drawing/2014/main" id="{C9752DF1-D0BB-61AC-14A8-C0E9B1E5F417}"/>
            </a:ext>
          </a:extLst>
        </xdr:cNvPr>
        <xdr:cNvSpPr/>
      </xdr:nvSpPr>
      <xdr:spPr>
        <a:xfrm>
          <a:off x="577516" y="5319183"/>
          <a:ext cx="16812128" cy="271491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 b="1"/>
            <a:t>Calculer Durée Totale de la mission</a:t>
          </a:r>
        </a:p>
      </xdr:txBody>
    </xdr:sp>
    <xdr:clientData/>
  </xdr:twoCellAnchor>
  <xdr:twoCellAnchor>
    <xdr:from>
      <xdr:col>0</xdr:col>
      <xdr:colOff>601579</xdr:colOff>
      <xdr:row>1031</xdr:row>
      <xdr:rowOff>40105</xdr:rowOff>
    </xdr:from>
    <xdr:to>
      <xdr:col>3</xdr:col>
      <xdr:colOff>200526</xdr:colOff>
      <xdr:row>1033</xdr:row>
      <xdr:rowOff>0</xdr:rowOff>
    </xdr:to>
    <xdr:sp macro="[0]!Ajouter_SousPhase_MethodeAudit" textlink="">
      <xdr:nvSpPr>
        <xdr:cNvPr id="66" name="Rectangle : coins arrondis 65">
          <a:extLst>
            <a:ext uri="{FF2B5EF4-FFF2-40B4-BE49-F238E27FC236}">
              <a16:creationId xmlns:a16="http://schemas.microsoft.com/office/drawing/2014/main" id="{5193E47C-3F86-BCC5-0793-D7A6A0F794F5}"/>
            </a:ext>
          </a:extLst>
        </xdr:cNvPr>
        <xdr:cNvSpPr/>
      </xdr:nvSpPr>
      <xdr:spPr>
        <a:xfrm>
          <a:off x="601579" y="5759116"/>
          <a:ext cx="1981200" cy="32886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3</xdr:col>
      <xdr:colOff>473242</xdr:colOff>
      <xdr:row>1031</xdr:row>
      <xdr:rowOff>24063</xdr:rowOff>
    </xdr:from>
    <xdr:to>
      <xdr:col>6</xdr:col>
      <xdr:colOff>16042</xdr:colOff>
      <xdr:row>1032</xdr:row>
      <xdr:rowOff>176463</xdr:rowOff>
    </xdr:to>
    <xdr:sp macro="[0]!Supprimer_SousPhases_MethodeAudit" textlink="">
      <xdr:nvSpPr>
        <xdr:cNvPr id="67" name="Rectangle : coins arrondis 66">
          <a:extLst>
            <a:ext uri="{FF2B5EF4-FFF2-40B4-BE49-F238E27FC236}">
              <a16:creationId xmlns:a16="http://schemas.microsoft.com/office/drawing/2014/main" id="{A59596B6-E21B-94BB-19AB-569ABD3B0608}"/>
            </a:ext>
          </a:extLst>
        </xdr:cNvPr>
        <xdr:cNvSpPr/>
      </xdr:nvSpPr>
      <xdr:spPr>
        <a:xfrm>
          <a:off x="2855495" y="5743074"/>
          <a:ext cx="1925052" cy="336884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0</xdr:col>
      <xdr:colOff>393032</xdr:colOff>
      <xdr:row>26</xdr:row>
      <xdr:rowOff>168443</xdr:rowOff>
    </xdr:from>
    <xdr:to>
      <xdr:col>2</xdr:col>
      <xdr:colOff>8022</xdr:colOff>
      <xdr:row>28</xdr:row>
      <xdr:rowOff>73074</xdr:rowOff>
    </xdr:to>
    <xdr:sp macro="[0]!Ajouter_Action_Securite_Methodologie" textlink="">
      <xdr:nvSpPr>
        <xdr:cNvPr id="68" name="Rectangle : coins arrondis 67">
          <a:extLst>
            <a:ext uri="{FF2B5EF4-FFF2-40B4-BE49-F238E27FC236}">
              <a16:creationId xmlns:a16="http://schemas.microsoft.com/office/drawing/2014/main" id="{929D5DB0-433B-7393-158E-3287D9B6F5C4}"/>
            </a:ext>
          </a:extLst>
        </xdr:cNvPr>
        <xdr:cNvSpPr/>
      </xdr:nvSpPr>
      <xdr:spPr>
        <a:xfrm>
          <a:off x="393032" y="4965032"/>
          <a:ext cx="1203158" cy="2736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Actions </a:t>
          </a:r>
        </a:p>
      </xdr:txBody>
    </xdr:sp>
    <xdr:clientData/>
  </xdr:twoCellAnchor>
  <xdr:twoCellAnchor>
    <xdr:from>
      <xdr:col>2</xdr:col>
      <xdr:colOff>120316</xdr:colOff>
      <xdr:row>26</xdr:row>
      <xdr:rowOff>168443</xdr:rowOff>
    </xdr:from>
    <xdr:to>
      <xdr:col>3</xdr:col>
      <xdr:colOff>601578</xdr:colOff>
      <xdr:row>28</xdr:row>
      <xdr:rowOff>72189</xdr:rowOff>
    </xdr:to>
    <xdr:sp macro="[0]!Supprimer_Action_Securite_Methodologie" textlink="">
      <xdr:nvSpPr>
        <xdr:cNvPr id="69" name="Rectangle : coins arrondis 68">
          <a:extLst>
            <a:ext uri="{FF2B5EF4-FFF2-40B4-BE49-F238E27FC236}">
              <a16:creationId xmlns:a16="http://schemas.microsoft.com/office/drawing/2014/main" id="{B22AEE00-F75D-7BD6-9429-A1D61C2951BB}"/>
            </a:ext>
          </a:extLst>
        </xdr:cNvPr>
        <xdr:cNvSpPr/>
      </xdr:nvSpPr>
      <xdr:spPr>
        <a:xfrm>
          <a:off x="1708484" y="4965032"/>
          <a:ext cx="1275347" cy="272715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 Actions</a:t>
          </a:r>
        </a:p>
      </xdr:txBody>
    </xdr:sp>
    <xdr:clientData/>
  </xdr:twoCellAnchor>
  <xdr:twoCellAnchor>
    <xdr:from>
      <xdr:col>0</xdr:col>
      <xdr:colOff>296779</xdr:colOff>
      <xdr:row>218</xdr:row>
      <xdr:rowOff>88232</xdr:rowOff>
    </xdr:from>
    <xdr:to>
      <xdr:col>2</xdr:col>
      <xdr:colOff>561474</xdr:colOff>
      <xdr:row>220</xdr:row>
      <xdr:rowOff>0</xdr:rowOff>
    </xdr:to>
    <xdr:sp macro="[0]!Ajouter_Commentaire_Securite_Methodologie" textlink="">
      <xdr:nvSpPr>
        <xdr:cNvPr id="70" name="Rectangle : coins arrondis 69">
          <a:extLst>
            <a:ext uri="{FF2B5EF4-FFF2-40B4-BE49-F238E27FC236}">
              <a16:creationId xmlns:a16="http://schemas.microsoft.com/office/drawing/2014/main" id="{29ACE013-9AF8-746A-60D0-181474998584}"/>
            </a:ext>
          </a:extLst>
        </xdr:cNvPr>
        <xdr:cNvSpPr/>
      </xdr:nvSpPr>
      <xdr:spPr>
        <a:xfrm>
          <a:off x="296779" y="3408948"/>
          <a:ext cx="1852863" cy="28073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un commentaire</a:t>
          </a:r>
        </a:p>
      </xdr:txBody>
    </xdr:sp>
    <xdr:clientData/>
  </xdr:twoCellAnchor>
  <xdr:twoCellAnchor>
    <xdr:from>
      <xdr:col>0</xdr:col>
      <xdr:colOff>256674</xdr:colOff>
      <xdr:row>220</xdr:row>
      <xdr:rowOff>152400</xdr:rowOff>
    </xdr:from>
    <xdr:to>
      <xdr:col>2</xdr:col>
      <xdr:colOff>625643</xdr:colOff>
      <xdr:row>222</xdr:row>
      <xdr:rowOff>40105</xdr:rowOff>
    </xdr:to>
    <xdr:sp macro="[0]!Supprimer_Commentaire_Securite_Methodologie" textlink="">
      <xdr:nvSpPr>
        <xdr:cNvPr id="71" name="Rectangle : coins arrondis 70">
          <a:extLst>
            <a:ext uri="{FF2B5EF4-FFF2-40B4-BE49-F238E27FC236}">
              <a16:creationId xmlns:a16="http://schemas.microsoft.com/office/drawing/2014/main" id="{531C5E7A-E05D-2BB8-CABC-EFEA5429EF23}"/>
            </a:ext>
          </a:extLst>
        </xdr:cNvPr>
        <xdr:cNvSpPr/>
      </xdr:nvSpPr>
      <xdr:spPr>
        <a:xfrm>
          <a:off x="256674" y="3842084"/>
          <a:ext cx="1957137" cy="25667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 un commentaire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373642</xdr:colOff>
      <xdr:row>817</xdr:row>
      <xdr:rowOff>114298</xdr:rowOff>
    </xdr:from>
    <xdr:to>
      <xdr:col>9</xdr:col>
      <xdr:colOff>434340</xdr:colOff>
      <xdr:row>818</xdr:row>
      <xdr:rowOff>259018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7B2FFFEA-963E-44DB-A063-7BD574F8004D}"/>
            </a:ext>
          </a:extLst>
        </xdr:cNvPr>
        <xdr:cNvSpPr/>
      </xdr:nvSpPr>
      <xdr:spPr>
        <a:xfrm>
          <a:off x="6202942" y="4046218"/>
          <a:ext cx="1645658" cy="32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/>
            <a:t>Année précédente</a:t>
          </a:r>
          <a:endParaRPr lang="fr-FR" sz="1100"/>
        </a:p>
      </xdr:txBody>
    </xdr:sp>
    <xdr:clientData/>
  </xdr:twoCellAnchor>
  <xdr:twoCellAnchor>
    <xdr:from>
      <xdr:col>0</xdr:col>
      <xdr:colOff>228600</xdr:colOff>
      <xdr:row>7</xdr:row>
      <xdr:rowOff>106680</xdr:rowOff>
    </xdr:from>
    <xdr:to>
      <xdr:col>17</xdr:col>
      <xdr:colOff>449580</xdr:colOff>
      <xdr:row>10</xdr:row>
      <xdr:rowOff>167640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E2B32B4D-48C2-3D67-8E96-9263EB4F710A}"/>
            </a:ext>
          </a:extLst>
        </xdr:cNvPr>
        <xdr:cNvSpPr/>
      </xdr:nvSpPr>
      <xdr:spPr>
        <a:xfrm>
          <a:off x="228600" y="1866900"/>
          <a:ext cx="13975080" cy="81534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731520</xdr:colOff>
      <xdr:row>8</xdr:row>
      <xdr:rowOff>83820</xdr:rowOff>
    </xdr:from>
    <xdr:to>
      <xdr:col>6</xdr:col>
      <xdr:colOff>731520</xdr:colOff>
      <xdr:row>9</xdr:row>
      <xdr:rowOff>175260</xdr:rowOff>
    </xdr:to>
    <xdr:sp macro="[0]!Afficher_Tests" textlink="">
      <xdr:nvSpPr>
        <xdr:cNvPr id="2" name="onglet_tests_synthese">
          <a:extLst>
            <a:ext uri="{FF2B5EF4-FFF2-40B4-BE49-F238E27FC236}">
              <a16:creationId xmlns:a16="http://schemas.microsoft.com/office/drawing/2014/main" id="{843E140F-EFD4-F208-9361-C06511E932A5}"/>
            </a:ext>
          </a:extLst>
        </xdr:cNvPr>
        <xdr:cNvSpPr/>
      </xdr:nvSpPr>
      <xdr:spPr>
        <a:xfrm>
          <a:off x="3901440" y="1546860"/>
          <a:ext cx="1584960" cy="27432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Type</a:t>
          </a:r>
          <a:r>
            <a:rPr lang="fr-FR" sz="1100" baseline="0"/>
            <a:t> et nature des tests</a:t>
          </a:r>
          <a:endParaRPr lang="fr-FR" sz="1100"/>
        </a:p>
      </xdr:txBody>
    </xdr:sp>
    <xdr:clientData/>
  </xdr:twoCellAnchor>
  <xdr:twoCellAnchor>
    <xdr:from>
      <xdr:col>6</xdr:col>
      <xdr:colOff>784860</xdr:colOff>
      <xdr:row>8</xdr:row>
      <xdr:rowOff>91440</xdr:rowOff>
    </xdr:from>
    <xdr:to>
      <xdr:col>8</xdr:col>
      <xdr:colOff>220980</xdr:colOff>
      <xdr:row>9</xdr:row>
      <xdr:rowOff>182160</xdr:rowOff>
    </xdr:to>
    <xdr:sp macro="[0]!Afficher_PlanAction" textlink="">
      <xdr:nvSpPr>
        <xdr:cNvPr id="3" name="onglet_planAction_synthese">
          <a:extLst>
            <a:ext uri="{FF2B5EF4-FFF2-40B4-BE49-F238E27FC236}">
              <a16:creationId xmlns:a16="http://schemas.microsoft.com/office/drawing/2014/main" id="{891E3D0F-968C-9D92-17C0-D6797E95F87F}"/>
            </a:ext>
          </a:extLst>
        </xdr:cNvPr>
        <xdr:cNvSpPr/>
      </xdr:nvSpPr>
      <xdr:spPr>
        <a:xfrm>
          <a:off x="5539740" y="1554480"/>
          <a:ext cx="1021080" cy="2736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Plan</a:t>
          </a:r>
          <a:r>
            <a:rPr lang="fr-FR" sz="1100" baseline="0"/>
            <a:t> d</a:t>
          </a:r>
          <a:r>
            <a:rPr lang="fr-FR" sz="1100"/>
            <a:t>'action</a:t>
          </a:r>
        </a:p>
      </xdr:txBody>
    </xdr:sp>
    <xdr:clientData/>
  </xdr:twoCellAnchor>
  <xdr:twoCellAnchor>
    <xdr:from>
      <xdr:col>8</xdr:col>
      <xdr:colOff>274320</xdr:colOff>
      <xdr:row>8</xdr:row>
      <xdr:rowOff>83820</xdr:rowOff>
    </xdr:from>
    <xdr:to>
      <xdr:col>9</xdr:col>
      <xdr:colOff>236220</xdr:colOff>
      <xdr:row>9</xdr:row>
      <xdr:rowOff>174540</xdr:rowOff>
    </xdr:to>
    <xdr:sp macro="[0]!Afficher_Evolution" textlink="">
      <xdr:nvSpPr>
        <xdr:cNvPr id="4" name="onglet_evolution_synthese">
          <a:extLst>
            <a:ext uri="{FF2B5EF4-FFF2-40B4-BE49-F238E27FC236}">
              <a16:creationId xmlns:a16="http://schemas.microsoft.com/office/drawing/2014/main" id="{FDEFE7C5-5236-3061-EDF3-A8F43825571A}"/>
            </a:ext>
          </a:extLst>
        </xdr:cNvPr>
        <xdr:cNvSpPr/>
      </xdr:nvSpPr>
      <xdr:spPr>
        <a:xfrm>
          <a:off x="6896100" y="2095500"/>
          <a:ext cx="754380" cy="34218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É</a:t>
          </a:r>
          <a:r>
            <a:rPr lang="fr-FR" sz="1100"/>
            <a:t>volution</a:t>
          </a:r>
        </a:p>
      </xdr:txBody>
    </xdr:sp>
    <xdr:clientData/>
  </xdr:twoCellAnchor>
  <xdr:twoCellAnchor>
    <xdr:from>
      <xdr:col>9</xdr:col>
      <xdr:colOff>312420</xdr:colOff>
      <xdr:row>8</xdr:row>
      <xdr:rowOff>83820</xdr:rowOff>
    </xdr:from>
    <xdr:to>
      <xdr:col>12</xdr:col>
      <xdr:colOff>15240</xdr:colOff>
      <xdr:row>9</xdr:row>
      <xdr:rowOff>174540</xdr:rowOff>
    </xdr:to>
    <xdr:sp macro="[0]!Afficher_BonnesPratiques" textlink="">
      <xdr:nvSpPr>
        <xdr:cNvPr id="5" name="onglet_defaillance_synthese">
          <a:extLst>
            <a:ext uri="{FF2B5EF4-FFF2-40B4-BE49-F238E27FC236}">
              <a16:creationId xmlns:a16="http://schemas.microsoft.com/office/drawing/2014/main" id="{E0506A69-E0E5-122F-A596-DC2F4A400432}"/>
            </a:ext>
          </a:extLst>
        </xdr:cNvPr>
        <xdr:cNvSpPr/>
      </xdr:nvSpPr>
      <xdr:spPr>
        <a:xfrm>
          <a:off x="7444740" y="1546860"/>
          <a:ext cx="2080260" cy="2736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Bonnes pratiques et défaillances</a:t>
          </a:r>
        </a:p>
      </xdr:txBody>
    </xdr:sp>
    <xdr:clientData/>
  </xdr:twoCellAnchor>
  <xdr:twoCellAnchor>
    <xdr:from>
      <xdr:col>12</xdr:col>
      <xdr:colOff>60960</xdr:colOff>
      <xdr:row>8</xdr:row>
      <xdr:rowOff>76200</xdr:rowOff>
    </xdr:from>
    <xdr:to>
      <xdr:col>13</xdr:col>
      <xdr:colOff>457200</xdr:colOff>
      <xdr:row>9</xdr:row>
      <xdr:rowOff>166920</xdr:rowOff>
    </xdr:to>
    <xdr:sp macro="[0]!Afficher_EtatMaturite" textlink="">
      <xdr:nvSpPr>
        <xdr:cNvPr id="6" name="onglet_maturite_synthese">
          <a:extLst>
            <a:ext uri="{FF2B5EF4-FFF2-40B4-BE49-F238E27FC236}">
              <a16:creationId xmlns:a16="http://schemas.microsoft.com/office/drawing/2014/main" id="{951F3A5E-C91C-CDDF-1454-802ADFE65168}"/>
            </a:ext>
          </a:extLst>
        </xdr:cNvPr>
        <xdr:cNvSpPr/>
      </xdr:nvSpPr>
      <xdr:spPr>
        <a:xfrm>
          <a:off x="9570720" y="1539240"/>
          <a:ext cx="1188720" cy="273600"/>
        </a:xfrm>
        <a:prstGeom prst="roundRect">
          <a:avLst/>
        </a:prstGeom>
        <a:gradFill flip="none" rotWithShape="1">
          <a:gsLst>
            <a:gs pos="0">
              <a:srgbClr val="FED64E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État de maturité</a:t>
          </a:r>
        </a:p>
      </xdr:txBody>
    </xdr:sp>
    <xdr:clientData/>
  </xdr:twoCellAnchor>
  <xdr:twoCellAnchor>
    <xdr:from>
      <xdr:col>2</xdr:col>
      <xdr:colOff>586740</xdr:colOff>
      <xdr:row>8</xdr:row>
      <xdr:rowOff>91440</xdr:rowOff>
    </xdr:from>
    <xdr:to>
      <xdr:col>4</xdr:col>
      <xdr:colOff>678180</xdr:colOff>
      <xdr:row>9</xdr:row>
      <xdr:rowOff>181980</xdr:rowOff>
    </xdr:to>
    <xdr:sp macro="[0]!Afficher_Responsabilites" textlink="">
      <xdr:nvSpPr>
        <xdr:cNvPr id="7" name="onglet_responsabilite_synthese">
          <a:extLst>
            <a:ext uri="{FF2B5EF4-FFF2-40B4-BE49-F238E27FC236}">
              <a16:creationId xmlns:a16="http://schemas.microsoft.com/office/drawing/2014/main" id="{6B0B7C5C-24C0-B7E7-D3BB-7C6D26B80C1B}"/>
            </a:ext>
          </a:extLst>
        </xdr:cNvPr>
        <xdr:cNvSpPr/>
      </xdr:nvSpPr>
      <xdr:spPr>
        <a:xfrm>
          <a:off x="2171700" y="2103120"/>
          <a:ext cx="1958340" cy="3420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Responsabilités et limites </a:t>
          </a:r>
        </a:p>
      </xdr:txBody>
    </xdr:sp>
    <xdr:clientData/>
  </xdr:twoCellAnchor>
  <xdr:twoCellAnchor>
    <xdr:from>
      <xdr:col>13</xdr:col>
      <xdr:colOff>510540</xdr:colOff>
      <xdr:row>8</xdr:row>
      <xdr:rowOff>76200</xdr:rowOff>
    </xdr:from>
    <xdr:to>
      <xdr:col>15</xdr:col>
      <xdr:colOff>441960</xdr:colOff>
      <xdr:row>9</xdr:row>
      <xdr:rowOff>166920</xdr:rowOff>
    </xdr:to>
    <xdr:sp macro="[0]!Afficher_Indicateurs" textlink="">
      <xdr:nvSpPr>
        <xdr:cNvPr id="8" name="onglet_indicateur_synthese">
          <a:extLst>
            <a:ext uri="{FF2B5EF4-FFF2-40B4-BE49-F238E27FC236}">
              <a16:creationId xmlns:a16="http://schemas.microsoft.com/office/drawing/2014/main" id="{5FB4DD1A-7395-441C-E5AD-D542A3621562}"/>
            </a:ext>
          </a:extLst>
        </xdr:cNvPr>
        <xdr:cNvSpPr/>
      </xdr:nvSpPr>
      <xdr:spPr>
        <a:xfrm>
          <a:off x="10812780" y="1539240"/>
          <a:ext cx="1516380" cy="2736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Indicateurs de sécurité</a:t>
          </a:r>
        </a:p>
      </xdr:txBody>
    </xdr:sp>
    <xdr:clientData/>
  </xdr:twoCellAnchor>
  <xdr:twoCellAnchor>
    <xdr:from>
      <xdr:col>0</xdr:col>
      <xdr:colOff>434340</xdr:colOff>
      <xdr:row>8</xdr:row>
      <xdr:rowOff>83820</xdr:rowOff>
    </xdr:from>
    <xdr:to>
      <xdr:col>2</xdr:col>
      <xdr:colOff>533400</xdr:colOff>
      <xdr:row>9</xdr:row>
      <xdr:rowOff>175260</xdr:rowOff>
    </xdr:to>
    <xdr:sp macro="[0]!Afficher_Standards" textlink="">
      <xdr:nvSpPr>
        <xdr:cNvPr id="9" name="onglet_standard_synthese">
          <a:extLst>
            <a:ext uri="{FF2B5EF4-FFF2-40B4-BE49-F238E27FC236}">
              <a16:creationId xmlns:a16="http://schemas.microsoft.com/office/drawing/2014/main" id="{7C1ED99A-7B23-E019-8164-057B517F7250}"/>
            </a:ext>
          </a:extLst>
        </xdr:cNvPr>
        <xdr:cNvSpPr/>
      </xdr:nvSpPr>
      <xdr:spPr>
        <a:xfrm>
          <a:off x="434340" y="1546860"/>
          <a:ext cx="1684020" cy="27432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Standards et Réferentiels </a:t>
          </a:r>
        </a:p>
      </xdr:txBody>
    </xdr:sp>
    <xdr:clientData/>
  </xdr:twoCellAnchor>
  <xdr:twoCellAnchor>
    <xdr:from>
      <xdr:col>15</xdr:col>
      <xdr:colOff>495300</xdr:colOff>
      <xdr:row>8</xdr:row>
      <xdr:rowOff>68580</xdr:rowOff>
    </xdr:from>
    <xdr:to>
      <xdr:col>17</xdr:col>
      <xdr:colOff>274320</xdr:colOff>
      <xdr:row>9</xdr:row>
      <xdr:rowOff>159300</xdr:rowOff>
    </xdr:to>
    <xdr:sp macro="[0]!Afficher_Dashboard" textlink="">
      <xdr:nvSpPr>
        <xdr:cNvPr id="10" name="onglet_dashboard-synthese">
          <a:extLst>
            <a:ext uri="{FF2B5EF4-FFF2-40B4-BE49-F238E27FC236}">
              <a16:creationId xmlns:a16="http://schemas.microsoft.com/office/drawing/2014/main" id="{6FBE1F14-900D-52AD-8032-AA702B4E0079}"/>
            </a:ext>
          </a:extLst>
        </xdr:cNvPr>
        <xdr:cNvSpPr/>
      </xdr:nvSpPr>
      <xdr:spPr>
        <a:xfrm>
          <a:off x="12382500" y="1531620"/>
          <a:ext cx="1363980" cy="273600"/>
        </a:xfrm>
        <a:prstGeom prst="roundRect">
          <a:avLst/>
        </a:prstGeom>
        <a:gradFill flip="none" rotWithShape="1">
          <a:gsLst>
            <a:gs pos="0">
              <a:srgbClr val="A4A4A4"/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Tableau de Bord</a:t>
          </a:r>
        </a:p>
      </xdr:txBody>
    </xdr:sp>
    <xdr:clientData/>
  </xdr:twoCellAnchor>
  <xdr:twoCellAnchor>
    <xdr:from>
      <xdr:col>0</xdr:col>
      <xdr:colOff>225752</xdr:colOff>
      <xdr:row>0</xdr:row>
      <xdr:rowOff>115377</xdr:rowOff>
    </xdr:from>
    <xdr:to>
      <xdr:col>5</xdr:col>
      <xdr:colOff>764233</xdr:colOff>
      <xdr:row>3</xdr:row>
      <xdr:rowOff>115377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E7D1A14B-F5BC-301B-3BC8-F973ACE22084}"/>
            </a:ext>
          </a:extLst>
        </xdr:cNvPr>
        <xdr:cNvSpPr/>
      </xdr:nvSpPr>
      <xdr:spPr>
        <a:xfrm>
          <a:off x="225752" y="115377"/>
          <a:ext cx="4787208" cy="76200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2400" b="0" cap="none" spc="0">
              <a:ln w="0"/>
              <a:gradFill>
                <a:gsLst>
                  <a:gs pos="21000">
                    <a:srgbClr val="53575C"/>
                  </a:gs>
                  <a:gs pos="88000">
                    <a:srgbClr val="C5C7CA"/>
                  </a:gs>
                </a:gsLst>
                <a:lin ang="5400000"/>
              </a:gradFill>
              <a:effectLst/>
            </a:rPr>
            <a:t>Synthèse des résultats de l’audit</a:t>
          </a:r>
        </a:p>
      </xdr:txBody>
    </xdr:sp>
    <xdr:clientData/>
  </xdr:twoCellAnchor>
  <xdr:twoCellAnchor>
    <xdr:from>
      <xdr:col>0</xdr:col>
      <xdr:colOff>53340</xdr:colOff>
      <xdr:row>13</xdr:row>
      <xdr:rowOff>60960</xdr:rowOff>
    </xdr:from>
    <xdr:to>
      <xdr:col>1</xdr:col>
      <xdr:colOff>114300</xdr:colOff>
      <xdr:row>14</xdr:row>
      <xdr:rowOff>160020</xdr:rowOff>
    </xdr:to>
    <xdr:sp macro="[0]!Ajouter_Critere_Standard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54517F71-BEAE-76AA-A4E0-BE56252C1622}"/>
            </a:ext>
          </a:extLst>
        </xdr:cNvPr>
        <xdr:cNvSpPr/>
      </xdr:nvSpPr>
      <xdr:spPr>
        <a:xfrm>
          <a:off x="53340" y="2438400"/>
          <a:ext cx="853440" cy="2819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60960</xdr:colOff>
      <xdr:row>15</xdr:row>
      <xdr:rowOff>15240</xdr:rowOff>
    </xdr:from>
    <xdr:to>
      <xdr:col>1</xdr:col>
      <xdr:colOff>121680</xdr:colOff>
      <xdr:row>16</xdr:row>
      <xdr:rowOff>113160</xdr:rowOff>
    </xdr:to>
    <xdr:sp macro="[0]!Supprimer_Critere_Standard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C94A7351-6E15-0254-01E9-0C32552505F5}"/>
            </a:ext>
          </a:extLst>
        </xdr:cNvPr>
        <xdr:cNvSpPr/>
      </xdr:nvSpPr>
      <xdr:spPr>
        <a:xfrm>
          <a:off x="60960" y="2758440"/>
          <a:ext cx="853200" cy="2808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1</xdr:col>
      <xdr:colOff>784860</xdr:colOff>
      <xdr:row>14</xdr:row>
      <xdr:rowOff>175260</xdr:rowOff>
    </xdr:from>
    <xdr:to>
      <xdr:col>6</xdr:col>
      <xdr:colOff>678180</xdr:colOff>
      <xdr:row>16</xdr:row>
      <xdr:rowOff>38100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6AA334E7-402C-31AC-FD78-FD71692F4E53}"/>
            </a:ext>
          </a:extLst>
        </xdr:cNvPr>
        <xdr:cNvSpPr/>
      </xdr:nvSpPr>
      <xdr:spPr>
        <a:xfrm>
          <a:off x="1577340" y="3558540"/>
          <a:ext cx="413766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Standars et Réferentiel</a:t>
          </a:r>
        </a:p>
      </xdr:txBody>
    </xdr:sp>
    <xdr:clientData/>
  </xdr:twoCellAnchor>
  <xdr:twoCellAnchor>
    <xdr:from>
      <xdr:col>7</xdr:col>
      <xdr:colOff>7620</xdr:colOff>
      <xdr:row>14</xdr:row>
      <xdr:rowOff>175260</xdr:rowOff>
    </xdr:from>
    <xdr:to>
      <xdr:col>12</xdr:col>
      <xdr:colOff>181620</xdr:colOff>
      <xdr:row>16</xdr:row>
      <xdr:rowOff>39900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74C0407-F36C-29A5-1DA4-41D29739820E}"/>
            </a:ext>
          </a:extLst>
        </xdr:cNvPr>
        <xdr:cNvSpPr/>
      </xdr:nvSpPr>
      <xdr:spPr>
        <a:xfrm>
          <a:off x="5836920" y="3558540"/>
          <a:ext cx="4136400" cy="2304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Déscription</a:t>
          </a:r>
        </a:p>
      </xdr:txBody>
    </xdr:sp>
    <xdr:clientData/>
  </xdr:twoCellAnchor>
  <xdr:twoCellAnchor>
    <xdr:from>
      <xdr:col>0</xdr:col>
      <xdr:colOff>114300</xdr:colOff>
      <xdr:row>213</xdr:row>
      <xdr:rowOff>60960</xdr:rowOff>
    </xdr:from>
    <xdr:to>
      <xdr:col>1</xdr:col>
      <xdr:colOff>175020</xdr:colOff>
      <xdr:row>214</xdr:row>
      <xdr:rowOff>158880</xdr:rowOff>
    </xdr:to>
    <xdr:sp macro="[0]!Ajouter_Responsabilite_Audit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899C2767-4B3A-B8CB-E332-28C106C58C20}"/>
            </a:ext>
          </a:extLst>
        </xdr:cNvPr>
        <xdr:cNvSpPr/>
      </xdr:nvSpPr>
      <xdr:spPr>
        <a:xfrm>
          <a:off x="114300" y="3261360"/>
          <a:ext cx="853200" cy="2808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114300</xdr:colOff>
      <xdr:row>215</xdr:row>
      <xdr:rowOff>38100</xdr:rowOff>
    </xdr:from>
    <xdr:to>
      <xdr:col>1</xdr:col>
      <xdr:colOff>175020</xdr:colOff>
      <xdr:row>216</xdr:row>
      <xdr:rowOff>136020</xdr:rowOff>
    </xdr:to>
    <xdr:sp macro="[0]!Supprimer_Responsabilite_Audit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30B020CD-DC17-9C4E-3908-EFBD8530BFC0}"/>
            </a:ext>
          </a:extLst>
        </xdr:cNvPr>
        <xdr:cNvSpPr/>
      </xdr:nvSpPr>
      <xdr:spPr>
        <a:xfrm>
          <a:off x="114300" y="3604260"/>
          <a:ext cx="853200" cy="2808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 </a:t>
          </a:r>
        </a:p>
      </xdr:txBody>
    </xdr:sp>
    <xdr:clientData/>
  </xdr:twoCellAnchor>
  <xdr:twoCellAnchor>
    <xdr:from>
      <xdr:col>2</xdr:col>
      <xdr:colOff>7620</xdr:colOff>
      <xdr:row>215</xdr:row>
      <xdr:rowOff>7620</xdr:rowOff>
    </xdr:from>
    <xdr:to>
      <xdr:col>6</xdr:col>
      <xdr:colOff>692160</xdr:colOff>
      <xdr:row>216</xdr:row>
      <xdr:rowOff>55140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031C402-5B26-AF1D-5F09-A10990078E87}"/>
            </a:ext>
          </a:extLst>
        </xdr:cNvPr>
        <xdr:cNvSpPr/>
      </xdr:nvSpPr>
      <xdr:spPr>
        <a:xfrm>
          <a:off x="1592580" y="3573780"/>
          <a:ext cx="4136400" cy="2304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Responsabilité de l'Auditeur</a:t>
          </a:r>
        </a:p>
      </xdr:txBody>
    </xdr:sp>
    <xdr:clientData/>
  </xdr:twoCellAnchor>
  <xdr:twoCellAnchor>
    <xdr:from>
      <xdr:col>7</xdr:col>
      <xdr:colOff>45720</xdr:colOff>
      <xdr:row>215</xdr:row>
      <xdr:rowOff>7620</xdr:rowOff>
    </xdr:from>
    <xdr:to>
      <xdr:col>12</xdr:col>
      <xdr:colOff>219720</xdr:colOff>
      <xdr:row>216</xdr:row>
      <xdr:rowOff>55140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6289D7D-06C8-4FDD-AA47-AF977C29AD14}"/>
            </a:ext>
          </a:extLst>
        </xdr:cNvPr>
        <xdr:cNvSpPr/>
      </xdr:nvSpPr>
      <xdr:spPr>
        <a:xfrm>
          <a:off x="5875020" y="3573780"/>
          <a:ext cx="4136400" cy="2304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Limites de l'Audit</a:t>
          </a:r>
        </a:p>
      </xdr:txBody>
    </xdr:sp>
    <xdr:clientData/>
  </xdr:twoCellAnchor>
  <xdr:twoCellAnchor>
    <xdr:from>
      <xdr:col>0</xdr:col>
      <xdr:colOff>220980</xdr:colOff>
      <xdr:row>413</xdr:row>
      <xdr:rowOff>60960</xdr:rowOff>
    </xdr:from>
    <xdr:to>
      <xdr:col>1</xdr:col>
      <xdr:colOff>281700</xdr:colOff>
      <xdr:row>414</xdr:row>
      <xdr:rowOff>158880</xdr:rowOff>
    </xdr:to>
    <xdr:sp macro="[0]!Ajouter_Test_Audi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72E2ACD1-0344-26D3-D5D6-F60BF10E2F6B}"/>
            </a:ext>
          </a:extLst>
        </xdr:cNvPr>
        <xdr:cNvSpPr/>
      </xdr:nvSpPr>
      <xdr:spPr>
        <a:xfrm>
          <a:off x="220980" y="3261360"/>
          <a:ext cx="853200" cy="2808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213360</xdr:colOff>
      <xdr:row>415</xdr:row>
      <xdr:rowOff>22860</xdr:rowOff>
    </xdr:from>
    <xdr:to>
      <xdr:col>1</xdr:col>
      <xdr:colOff>274080</xdr:colOff>
      <xdr:row>416</xdr:row>
      <xdr:rowOff>120780</xdr:rowOff>
    </xdr:to>
    <xdr:sp macro="[0]!Supprimer_Test_Audit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FCEDA873-86F5-E6D7-66CD-8237212539EF}"/>
            </a:ext>
          </a:extLst>
        </xdr:cNvPr>
        <xdr:cNvSpPr/>
      </xdr:nvSpPr>
      <xdr:spPr>
        <a:xfrm>
          <a:off x="213360" y="3589020"/>
          <a:ext cx="853200" cy="2808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2</xdr:col>
      <xdr:colOff>0</xdr:colOff>
      <xdr:row>414</xdr:row>
      <xdr:rowOff>144780</xdr:rowOff>
    </xdr:from>
    <xdr:to>
      <xdr:col>4</xdr:col>
      <xdr:colOff>716280</xdr:colOff>
      <xdr:row>416</xdr:row>
      <xdr:rowOff>15240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A9CACB14-6D8F-2012-1761-F056E8A79EDC}"/>
            </a:ext>
          </a:extLst>
        </xdr:cNvPr>
        <xdr:cNvSpPr/>
      </xdr:nvSpPr>
      <xdr:spPr>
        <a:xfrm>
          <a:off x="1584960" y="3528060"/>
          <a:ext cx="258318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Type de Test</a:t>
          </a:r>
        </a:p>
      </xdr:txBody>
    </xdr:sp>
    <xdr:clientData/>
  </xdr:twoCellAnchor>
  <xdr:twoCellAnchor>
    <xdr:from>
      <xdr:col>11</xdr:col>
      <xdr:colOff>7620</xdr:colOff>
      <xdr:row>414</xdr:row>
      <xdr:rowOff>144780</xdr:rowOff>
    </xdr:from>
    <xdr:to>
      <xdr:col>17</xdr:col>
      <xdr:colOff>106680</xdr:colOff>
      <xdr:row>416</xdr:row>
      <xdr:rowOff>9420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30070622-AC87-4A4B-B3FD-81561D86C21C}"/>
            </a:ext>
          </a:extLst>
        </xdr:cNvPr>
        <xdr:cNvSpPr/>
      </xdr:nvSpPr>
      <xdr:spPr>
        <a:xfrm>
          <a:off x="9006840" y="3528060"/>
          <a:ext cx="4853940" cy="2304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Justification (Source R-ANCS)</a:t>
          </a:r>
        </a:p>
      </xdr:txBody>
    </xdr:sp>
    <xdr:clientData/>
  </xdr:twoCellAnchor>
  <xdr:twoCellAnchor>
    <xdr:from>
      <xdr:col>5</xdr:col>
      <xdr:colOff>76200</xdr:colOff>
      <xdr:row>414</xdr:row>
      <xdr:rowOff>144780</xdr:rowOff>
    </xdr:from>
    <xdr:to>
      <xdr:col>10</xdr:col>
      <xdr:colOff>662940</xdr:colOff>
      <xdr:row>416</xdr:row>
      <xdr:rowOff>7620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7E9B48A-AFA6-4FD7-B348-3BFE5AD68F97}"/>
            </a:ext>
          </a:extLst>
        </xdr:cNvPr>
        <xdr:cNvSpPr/>
      </xdr:nvSpPr>
      <xdr:spPr>
        <a:xfrm>
          <a:off x="4320540" y="3528060"/>
          <a:ext cx="4549140" cy="228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Nature du Test</a:t>
          </a:r>
        </a:p>
      </xdr:txBody>
    </xdr:sp>
    <xdr:clientData/>
  </xdr:twoCellAnchor>
  <xdr:twoCellAnchor>
    <xdr:from>
      <xdr:col>1</xdr:col>
      <xdr:colOff>7620</xdr:colOff>
      <xdr:row>612</xdr:row>
      <xdr:rowOff>91440</xdr:rowOff>
    </xdr:from>
    <xdr:to>
      <xdr:col>2</xdr:col>
      <xdr:colOff>723540</xdr:colOff>
      <xdr:row>614</xdr:row>
      <xdr:rowOff>38880</xdr:rowOff>
    </xdr:to>
    <xdr:sp macro="[0]!Ajouter_Projet_onglet_planAction_synthese" textlink="">
      <xdr:nvSpPr>
        <xdr:cNvPr id="33" name="Rectangle : coins arrondis 32">
          <a:extLst>
            <a:ext uri="{FF2B5EF4-FFF2-40B4-BE49-F238E27FC236}">
              <a16:creationId xmlns:a16="http://schemas.microsoft.com/office/drawing/2014/main" id="{55367088-B8AE-22A0-E8AB-69AC13E9A4AA}"/>
            </a:ext>
          </a:extLst>
        </xdr:cNvPr>
        <xdr:cNvSpPr/>
      </xdr:nvSpPr>
      <xdr:spPr>
        <a:xfrm>
          <a:off x="800100" y="3108960"/>
          <a:ext cx="1508400" cy="3132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un projet</a:t>
          </a:r>
        </a:p>
        <a:p>
          <a:pPr algn="l"/>
          <a:endParaRPr lang="fr-FR" sz="1100"/>
        </a:p>
      </xdr:txBody>
    </xdr:sp>
    <xdr:clientData/>
  </xdr:twoCellAnchor>
  <xdr:twoCellAnchor>
    <xdr:from>
      <xdr:col>1</xdr:col>
      <xdr:colOff>7620</xdr:colOff>
      <xdr:row>614</xdr:row>
      <xdr:rowOff>137160</xdr:rowOff>
    </xdr:from>
    <xdr:to>
      <xdr:col>2</xdr:col>
      <xdr:colOff>723540</xdr:colOff>
      <xdr:row>616</xdr:row>
      <xdr:rowOff>52200</xdr:rowOff>
    </xdr:to>
    <xdr:sp macro="[0]!Supprimer_Projet_onglet_planAction_synthese" textlink="">
      <xdr:nvSpPr>
        <xdr:cNvPr id="37" name="Rectangle : coins arrondis 36">
          <a:extLst>
            <a:ext uri="{FF2B5EF4-FFF2-40B4-BE49-F238E27FC236}">
              <a16:creationId xmlns:a16="http://schemas.microsoft.com/office/drawing/2014/main" id="{127E4966-D46A-4C76-B279-1BE63E7E45F7}"/>
            </a:ext>
          </a:extLst>
        </xdr:cNvPr>
        <xdr:cNvSpPr/>
      </xdr:nvSpPr>
      <xdr:spPr>
        <a:xfrm>
          <a:off x="800100" y="3520440"/>
          <a:ext cx="1508400" cy="2808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 un projet</a:t>
          </a: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614</xdr:row>
      <xdr:rowOff>137160</xdr:rowOff>
    </xdr:from>
    <xdr:to>
      <xdr:col>4</xdr:col>
      <xdr:colOff>556260</xdr:colOff>
      <xdr:row>616</xdr:row>
      <xdr:rowOff>52200</xdr:rowOff>
    </xdr:to>
    <xdr:sp macro="[0]!Supprimer_Action_onglet_planAction_synthese" textlink="">
      <xdr:nvSpPr>
        <xdr:cNvPr id="39" name="Rectangle : coins arrondis 38">
          <a:extLst>
            <a:ext uri="{FF2B5EF4-FFF2-40B4-BE49-F238E27FC236}">
              <a16:creationId xmlns:a16="http://schemas.microsoft.com/office/drawing/2014/main" id="{05D7A63C-BB6F-4B52-A7BE-748406D33291}"/>
            </a:ext>
          </a:extLst>
        </xdr:cNvPr>
        <xdr:cNvSpPr/>
      </xdr:nvSpPr>
      <xdr:spPr>
        <a:xfrm>
          <a:off x="2499360" y="3520440"/>
          <a:ext cx="1508760" cy="2808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 une</a:t>
          </a:r>
          <a:r>
            <a:rPr lang="fr-FR" sz="1100" baseline="0"/>
            <a:t> action</a:t>
          </a:r>
          <a:endParaRPr lang="fr-FR" sz="1100"/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7620</xdr:colOff>
      <xdr:row>612</xdr:row>
      <xdr:rowOff>91440</xdr:rowOff>
    </xdr:from>
    <xdr:to>
      <xdr:col>4</xdr:col>
      <xdr:colOff>563520</xdr:colOff>
      <xdr:row>614</xdr:row>
      <xdr:rowOff>38880</xdr:rowOff>
    </xdr:to>
    <xdr:sp macro="[0]!Ajouter_Action_onglet_planAction_synthese" textlink="">
      <xdr:nvSpPr>
        <xdr:cNvPr id="40" name="Rectangle : coins arrondis 39">
          <a:extLst>
            <a:ext uri="{FF2B5EF4-FFF2-40B4-BE49-F238E27FC236}">
              <a16:creationId xmlns:a16="http://schemas.microsoft.com/office/drawing/2014/main" id="{F147F909-F4E5-4FB6-7525-25E539E975D4}"/>
            </a:ext>
          </a:extLst>
        </xdr:cNvPr>
        <xdr:cNvSpPr/>
      </xdr:nvSpPr>
      <xdr:spPr>
        <a:xfrm>
          <a:off x="2506980" y="3108960"/>
          <a:ext cx="1508400" cy="3132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une action </a:t>
          </a:r>
        </a:p>
      </xdr:txBody>
    </xdr:sp>
    <xdr:clientData/>
  </xdr:twoCellAnchor>
  <xdr:twoCellAnchor>
    <xdr:from>
      <xdr:col>1</xdr:col>
      <xdr:colOff>533400</xdr:colOff>
      <xdr:row>618</xdr:row>
      <xdr:rowOff>137160</xdr:rowOff>
    </xdr:from>
    <xdr:to>
      <xdr:col>3</xdr:col>
      <xdr:colOff>563880</xdr:colOff>
      <xdr:row>620</xdr:row>
      <xdr:rowOff>7620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87B4ED09-510C-FF66-D421-4A5299BA47B1}"/>
            </a:ext>
          </a:extLst>
        </xdr:cNvPr>
        <xdr:cNvSpPr/>
      </xdr:nvSpPr>
      <xdr:spPr>
        <a:xfrm>
          <a:off x="1325880" y="4251960"/>
          <a:ext cx="1737360" cy="23622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Projet</a:t>
          </a:r>
        </a:p>
      </xdr:txBody>
    </xdr:sp>
    <xdr:clientData/>
  </xdr:twoCellAnchor>
  <xdr:twoCellAnchor>
    <xdr:from>
      <xdr:col>9</xdr:col>
      <xdr:colOff>518160</xdr:colOff>
      <xdr:row>618</xdr:row>
      <xdr:rowOff>129540</xdr:rowOff>
    </xdr:from>
    <xdr:to>
      <xdr:col>11</xdr:col>
      <xdr:colOff>205740</xdr:colOff>
      <xdr:row>620</xdr:row>
      <xdr:rowOff>1380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2232A6EB-12C6-41A4-8BCD-F69D7BC88F4F}"/>
            </a:ext>
          </a:extLst>
        </xdr:cNvPr>
        <xdr:cNvSpPr/>
      </xdr:nvSpPr>
      <xdr:spPr>
        <a:xfrm>
          <a:off x="7932420" y="4244340"/>
          <a:ext cx="1272540" cy="23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Charge (H/J)</a:t>
          </a:r>
        </a:p>
      </xdr:txBody>
    </xdr:sp>
    <xdr:clientData/>
  </xdr:twoCellAnchor>
  <xdr:twoCellAnchor>
    <xdr:from>
      <xdr:col>13</xdr:col>
      <xdr:colOff>510540</xdr:colOff>
      <xdr:row>618</xdr:row>
      <xdr:rowOff>121920</xdr:rowOff>
    </xdr:from>
    <xdr:to>
      <xdr:col>18</xdr:col>
      <xdr:colOff>259080</xdr:colOff>
      <xdr:row>619</xdr:row>
      <xdr:rowOff>176640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9AFA96E5-1C6F-4867-B22F-563E1D3F9FB6}"/>
            </a:ext>
          </a:extLst>
        </xdr:cNvPr>
        <xdr:cNvSpPr/>
      </xdr:nvSpPr>
      <xdr:spPr>
        <a:xfrm>
          <a:off x="11094720" y="4236720"/>
          <a:ext cx="3710940" cy="23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Évaluation</a:t>
          </a:r>
        </a:p>
      </xdr:txBody>
    </xdr:sp>
    <xdr:clientData/>
  </xdr:twoCellAnchor>
  <xdr:twoCellAnchor>
    <xdr:from>
      <xdr:col>11</xdr:col>
      <xdr:colOff>381000</xdr:colOff>
      <xdr:row>618</xdr:row>
      <xdr:rowOff>129540</xdr:rowOff>
    </xdr:from>
    <xdr:to>
      <xdr:col>13</xdr:col>
      <xdr:colOff>335280</xdr:colOff>
      <xdr:row>620</xdr:row>
      <xdr:rowOff>1380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ECBEA7E-B90A-4489-91C8-6F6EAEAEBCD1}"/>
            </a:ext>
          </a:extLst>
        </xdr:cNvPr>
        <xdr:cNvSpPr/>
      </xdr:nvSpPr>
      <xdr:spPr>
        <a:xfrm>
          <a:off x="9380220" y="4244340"/>
          <a:ext cx="1539240" cy="23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Taux de réalisation</a:t>
          </a:r>
        </a:p>
      </xdr:txBody>
    </xdr:sp>
    <xdr:clientData/>
  </xdr:twoCellAnchor>
  <xdr:twoCellAnchor>
    <xdr:from>
      <xdr:col>7</xdr:col>
      <xdr:colOff>388620</xdr:colOff>
      <xdr:row>618</xdr:row>
      <xdr:rowOff>129540</xdr:rowOff>
    </xdr:from>
    <xdr:to>
      <xdr:col>9</xdr:col>
      <xdr:colOff>342900</xdr:colOff>
      <xdr:row>620</xdr:row>
      <xdr:rowOff>1380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ED3C0606-FA62-4136-82FA-81635C67A6D9}"/>
            </a:ext>
          </a:extLst>
        </xdr:cNvPr>
        <xdr:cNvSpPr/>
      </xdr:nvSpPr>
      <xdr:spPr>
        <a:xfrm>
          <a:off x="6217920" y="4244340"/>
          <a:ext cx="1539240" cy="23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Chargé de l'action</a:t>
          </a:r>
        </a:p>
      </xdr:txBody>
    </xdr:sp>
    <xdr:clientData/>
  </xdr:twoCellAnchor>
  <xdr:twoCellAnchor>
    <xdr:from>
      <xdr:col>5</xdr:col>
      <xdr:colOff>678180</xdr:colOff>
      <xdr:row>618</xdr:row>
      <xdr:rowOff>137160</xdr:rowOff>
    </xdr:from>
    <xdr:to>
      <xdr:col>7</xdr:col>
      <xdr:colOff>121920</xdr:colOff>
      <xdr:row>620</xdr:row>
      <xdr:rowOff>9000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7DD603AA-8EC3-41F2-A379-BA34B0139B26}"/>
            </a:ext>
          </a:extLst>
        </xdr:cNvPr>
        <xdr:cNvSpPr/>
      </xdr:nvSpPr>
      <xdr:spPr>
        <a:xfrm>
          <a:off x="4922520" y="4251960"/>
          <a:ext cx="1028700" cy="23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Criticité</a:t>
          </a:r>
        </a:p>
      </xdr:txBody>
    </xdr:sp>
    <xdr:clientData/>
  </xdr:twoCellAnchor>
  <xdr:twoCellAnchor>
    <xdr:from>
      <xdr:col>3</xdr:col>
      <xdr:colOff>876300</xdr:colOff>
      <xdr:row>618</xdr:row>
      <xdr:rowOff>129540</xdr:rowOff>
    </xdr:from>
    <xdr:to>
      <xdr:col>5</xdr:col>
      <xdr:colOff>579120</xdr:colOff>
      <xdr:row>620</xdr:row>
      <xdr:rowOff>1380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313C2ECE-B86C-464E-9B64-4D378C4A1ABA}"/>
            </a:ext>
          </a:extLst>
        </xdr:cNvPr>
        <xdr:cNvSpPr/>
      </xdr:nvSpPr>
      <xdr:spPr>
        <a:xfrm>
          <a:off x="3375660" y="4244340"/>
          <a:ext cx="1447800" cy="23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Action</a:t>
          </a:r>
        </a:p>
      </xdr:txBody>
    </xdr:sp>
    <xdr:clientData/>
  </xdr:twoCellAnchor>
  <xdr:twoCellAnchor>
    <xdr:from>
      <xdr:col>4</xdr:col>
      <xdr:colOff>746760</xdr:colOff>
      <xdr:row>612</xdr:row>
      <xdr:rowOff>83820</xdr:rowOff>
    </xdr:from>
    <xdr:to>
      <xdr:col>6</xdr:col>
      <xdr:colOff>670200</xdr:colOff>
      <xdr:row>614</xdr:row>
      <xdr:rowOff>31260</xdr:rowOff>
    </xdr:to>
    <xdr:sp macro="[0]!Rechercher_Projet_onglet_planAction_synthese" textlink="">
      <xdr:nvSpPr>
        <xdr:cNvPr id="55" name="Rectangle : coins arrondis 54">
          <a:extLst>
            <a:ext uri="{FF2B5EF4-FFF2-40B4-BE49-F238E27FC236}">
              <a16:creationId xmlns:a16="http://schemas.microsoft.com/office/drawing/2014/main" id="{4652EB58-8793-C78D-AE8B-C9ACC28FE6F4}"/>
            </a:ext>
          </a:extLst>
        </xdr:cNvPr>
        <xdr:cNvSpPr/>
      </xdr:nvSpPr>
      <xdr:spPr>
        <a:xfrm>
          <a:off x="4198620" y="3101340"/>
          <a:ext cx="1508400" cy="313200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/>
            <a:t>Filtrer par projet</a:t>
          </a:r>
          <a:endParaRPr lang="fr-FR" sz="1100"/>
        </a:p>
      </xdr:txBody>
    </xdr:sp>
    <xdr:clientData/>
  </xdr:twoCellAnchor>
  <xdr:twoCellAnchor>
    <xdr:from>
      <xdr:col>1</xdr:col>
      <xdr:colOff>776936</xdr:colOff>
      <xdr:row>817</xdr:row>
      <xdr:rowOff>128195</xdr:rowOff>
    </xdr:from>
    <xdr:to>
      <xdr:col>5</xdr:col>
      <xdr:colOff>776936</xdr:colOff>
      <xdr:row>819</xdr:row>
      <xdr:rowOff>35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82C18400-FCBE-BC34-938A-FC8DE071949B}"/>
            </a:ext>
          </a:extLst>
        </xdr:cNvPr>
        <xdr:cNvSpPr/>
      </xdr:nvSpPr>
      <xdr:spPr>
        <a:xfrm>
          <a:off x="1565830" y="4036807"/>
          <a:ext cx="3442447" cy="230428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Indicateur de sécurité</a:t>
          </a:r>
        </a:p>
      </xdr:txBody>
    </xdr:sp>
    <xdr:clientData/>
  </xdr:twoCellAnchor>
  <xdr:twoCellAnchor>
    <xdr:from>
      <xdr:col>14</xdr:col>
      <xdr:colOff>784860</xdr:colOff>
      <xdr:row>817</xdr:row>
      <xdr:rowOff>144780</xdr:rowOff>
    </xdr:from>
    <xdr:to>
      <xdr:col>16</xdr:col>
      <xdr:colOff>762000</xdr:colOff>
      <xdr:row>818</xdr:row>
      <xdr:rowOff>175260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182E496E-500D-608F-B57F-085D97810444}"/>
            </a:ext>
          </a:extLst>
        </xdr:cNvPr>
        <xdr:cNvSpPr/>
      </xdr:nvSpPr>
      <xdr:spPr>
        <a:xfrm>
          <a:off x="12161520" y="4076700"/>
          <a:ext cx="1562100" cy="21336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Vriation</a:t>
          </a:r>
        </a:p>
      </xdr:txBody>
    </xdr:sp>
    <xdr:clientData/>
  </xdr:twoCellAnchor>
  <xdr:twoCellAnchor>
    <xdr:from>
      <xdr:col>0</xdr:col>
      <xdr:colOff>84959</xdr:colOff>
      <xdr:row>813</xdr:row>
      <xdr:rowOff>17518</xdr:rowOff>
    </xdr:from>
    <xdr:to>
      <xdr:col>2</xdr:col>
      <xdr:colOff>12603</xdr:colOff>
      <xdr:row>814</xdr:row>
      <xdr:rowOff>147838</xdr:rowOff>
    </xdr:to>
    <xdr:sp macro="[0]!Ajouter_Evolution" textlink="">
      <xdr:nvSpPr>
        <xdr:cNvPr id="61" name="Rectangle : coins arrondis 60">
          <a:extLst>
            <a:ext uri="{FF2B5EF4-FFF2-40B4-BE49-F238E27FC236}">
              <a16:creationId xmlns:a16="http://schemas.microsoft.com/office/drawing/2014/main" id="{02993DA8-D5BE-44DF-9AED-46ED58EDC2DE}"/>
            </a:ext>
          </a:extLst>
        </xdr:cNvPr>
        <xdr:cNvSpPr/>
      </xdr:nvSpPr>
      <xdr:spPr>
        <a:xfrm>
          <a:off x="84959" y="3249449"/>
          <a:ext cx="1504196" cy="31425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0</xdr:col>
      <xdr:colOff>83820</xdr:colOff>
      <xdr:row>815</xdr:row>
      <xdr:rowOff>75412</xdr:rowOff>
    </xdr:from>
    <xdr:to>
      <xdr:col>2</xdr:col>
      <xdr:colOff>7260</xdr:colOff>
      <xdr:row>817</xdr:row>
      <xdr:rowOff>21801</xdr:rowOff>
    </xdr:to>
    <xdr:sp macro="[0]!Supprimer_Evolution" textlink="">
      <xdr:nvSpPr>
        <xdr:cNvPr id="62" name="Rectangle : coins arrondis 61">
          <a:extLst>
            <a:ext uri="{FF2B5EF4-FFF2-40B4-BE49-F238E27FC236}">
              <a16:creationId xmlns:a16="http://schemas.microsoft.com/office/drawing/2014/main" id="{D710D0BF-926A-4891-A3BF-ACC0DDBF423F}"/>
            </a:ext>
          </a:extLst>
        </xdr:cNvPr>
        <xdr:cNvSpPr/>
      </xdr:nvSpPr>
      <xdr:spPr>
        <a:xfrm>
          <a:off x="83820" y="3675205"/>
          <a:ext cx="1499992" cy="314251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11</xdr:col>
      <xdr:colOff>314172</xdr:colOff>
      <xdr:row>817</xdr:row>
      <xdr:rowOff>127175</xdr:rowOff>
    </xdr:from>
    <xdr:to>
      <xdr:col>13</xdr:col>
      <xdr:colOff>324069</xdr:colOff>
      <xdr:row>819</xdr:row>
      <xdr:rowOff>3416</xdr:rowOff>
    </xdr:to>
    <xdr:sp macro="" textlink="">
      <xdr:nvSpPr>
        <xdr:cNvPr id="2048" name="Rectangle 2047">
          <a:extLst>
            <a:ext uri="{FF2B5EF4-FFF2-40B4-BE49-F238E27FC236}">
              <a16:creationId xmlns:a16="http://schemas.microsoft.com/office/drawing/2014/main" id="{8A7AA342-231D-4FDF-A233-68855A6983B8}"/>
            </a:ext>
          </a:extLst>
        </xdr:cNvPr>
        <xdr:cNvSpPr/>
      </xdr:nvSpPr>
      <xdr:spPr>
        <a:xfrm>
          <a:off x="9313392" y="4059095"/>
          <a:ext cx="1594857" cy="325821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/>
            <a:t>Année suivante</a:t>
          </a:r>
        </a:p>
        <a:p>
          <a:pPr algn="ctr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818</xdr:row>
          <xdr:rowOff>30480</xdr:rowOff>
        </xdr:from>
        <xdr:to>
          <xdr:col>9</xdr:col>
          <xdr:colOff>419100</xdr:colOff>
          <xdr:row>1213</xdr:row>
          <xdr:rowOff>15240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7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818</xdr:row>
          <xdr:rowOff>53340</xdr:rowOff>
        </xdr:from>
        <xdr:to>
          <xdr:col>13</xdr:col>
          <xdr:colOff>297180</xdr:colOff>
          <xdr:row>1213</xdr:row>
          <xdr:rowOff>15240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7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484749</xdr:colOff>
      <xdr:row>1219</xdr:row>
      <xdr:rowOff>107853</xdr:rowOff>
    </xdr:from>
    <xdr:to>
      <xdr:col>2</xdr:col>
      <xdr:colOff>743829</xdr:colOff>
      <xdr:row>1220</xdr:row>
      <xdr:rowOff>155539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F0534C57-6C46-87A5-D9FC-517F44CB72DB}"/>
            </a:ext>
          </a:extLst>
        </xdr:cNvPr>
        <xdr:cNvSpPr/>
      </xdr:nvSpPr>
      <xdr:spPr>
        <a:xfrm>
          <a:off x="484749" y="4504007"/>
          <a:ext cx="1841695" cy="223532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Domaine</a:t>
          </a:r>
        </a:p>
      </xdr:txBody>
    </xdr:sp>
    <xdr:clientData/>
  </xdr:twoCellAnchor>
  <xdr:twoCellAnchor>
    <xdr:from>
      <xdr:col>3</xdr:col>
      <xdr:colOff>685800</xdr:colOff>
      <xdr:row>1219</xdr:row>
      <xdr:rowOff>121920</xdr:rowOff>
    </xdr:from>
    <xdr:to>
      <xdr:col>5</xdr:col>
      <xdr:colOff>30480</xdr:colOff>
      <xdr:row>1220</xdr:row>
      <xdr:rowOff>176640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CCEA1518-C247-D8F7-878E-4ED3DB2664EA}"/>
            </a:ext>
          </a:extLst>
        </xdr:cNvPr>
        <xdr:cNvSpPr/>
      </xdr:nvSpPr>
      <xdr:spPr>
        <a:xfrm>
          <a:off x="3185160" y="4419600"/>
          <a:ext cx="1089660" cy="23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REF Controle</a:t>
          </a:r>
        </a:p>
      </xdr:txBody>
    </xdr:sp>
    <xdr:clientData/>
  </xdr:twoCellAnchor>
  <xdr:twoCellAnchor>
    <xdr:from>
      <xdr:col>6</xdr:col>
      <xdr:colOff>381000</xdr:colOff>
      <xdr:row>1219</xdr:row>
      <xdr:rowOff>121920</xdr:rowOff>
    </xdr:from>
    <xdr:to>
      <xdr:col>8</xdr:col>
      <xdr:colOff>137160</xdr:colOff>
      <xdr:row>1220</xdr:row>
      <xdr:rowOff>176640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80CC130A-AFCF-A8CA-885F-E318B58F9C18}"/>
            </a:ext>
          </a:extLst>
        </xdr:cNvPr>
        <xdr:cNvSpPr/>
      </xdr:nvSpPr>
      <xdr:spPr>
        <a:xfrm>
          <a:off x="5417820" y="4419600"/>
          <a:ext cx="1341120" cy="237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Nom du Controle</a:t>
          </a:r>
        </a:p>
      </xdr:txBody>
    </xdr:sp>
    <xdr:clientData/>
  </xdr:twoCellAnchor>
  <xdr:twoCellAnchor>
    <xdr:from>
      <xdr:col>12</xdr:col>
      <xdr:colOff>479347</xdr:colOff>
      <xdr:row>1219</xdr:row>
      <xdr:rowOff>144018</xdr:rowOff>
    </xdr:from>
    <xdr:to>
      <xdr:col>14</xdr:col>
      <xdr:colOff>395031</xdr:colOff>
      <xdr:row>1221</xdr:row>
      <xdr:rowOff>15858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4BFF3270-1020-2782-71A2-9F6EA50D903D}"/>
            </a:ext>
          </a:extLst>
        </xdr:cNvPr>
        <xdr:cNvSpPr/>
      </xdr:nvSpPr>
      <xdr:spPr>
        <a:xfrm>
          <a:off x="10294238" y="4401279"/>
          <a:ext cx="1505945" cy="236275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Catégorie du controle</a:t>
          </a:r>
        </a:p>
      </xdr:txBody>
    </xdr:sp>
    <xdr:clientData/>
  </xdr:twoCellAnchor>
  <xdr:twoCellAnchor>
    <xdr:from>
      <xdr:col>23</xdr:col>
      <xdr:colOff>133217</xdr:colOff>
      <xdr:row>1219</xdr:row>
      <xdr:rowOff>124795</xdr:rowOff>
    </xdr:from>
    <xdr:to>
      <xdr:col>24</xdr:col>
      <xdr:colOff>695192</xdr:colOff>
      <xdr:row>1220</xdr:row>
      <xdr:rowOff>177610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AA4D479-CF5A-302E-9A92-6A51E8FC69B9}"/>
            </a:ext>
          </a:extLst>
        </xdr:cNvPr>
        <xdr:cNvSpPr/>
      </xdr:nvSpPr>
      <xdr:spPr>
        <a:xfrm>
          <a:off x="18602192" y="4363420"/>
          <a:ext cx="1352550" cy="23379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Description</a:t>
          </a:r>
        </a:p>
      </xdr:txBody>
    </xdr:sp>
    <xdr:clientData/>
  </xdr:twoCellAnchor>
  <xdr:twoCellAnchor>
    <xdr:from>
      <xdr:col>20</xdr:col>
      <xdr:colOff>603918</xdr:colOff>
      <xdr:row>1219</xdr:row>
      <xdr:rowOff>125763</xdr:rowOff>
    </xdr:from>
    <xdr:to>
      <xdr:col>22</xdr:col>
      <xdr:colOff>146718</xdr:colOff>
      <xdr:row>1221</xdr:row>
      <xdr:rowOff>9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FE3809C9-537A-0195-4F1F-17B712118737}"/>
            </a:ext>
          </a:extLst>
        </xdr:cNvPr>
        <xdr:cNvSpPr/>
      </xdr:nvSpPr>
      <xdr:spPr>
        <a:xfrm>
          <a:off x="16701168" y="4364388"/>
          <a:ext cx="1123950" cy="236196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Valeur attribuée </a:t>
          </a:r>
        </a:p>
      </xdr:txBody>
    </xdr:sp>
    <xdr:clientData/>
  </xdr:twoCellAnchor>
  <xdr:twoCellAnchor>
    <xdr:from>
      <xdr:col>27</xdr:col>
      <xdr:colOff>101</xdr:colOff>
      <xdr:row>1219</xdr:row>
      <xdr:rowOff>112462</xdr:rowOff>
    </xdr:from>
    <xdr:to>
      <xdr:col>29</xdr:col>
      <xdr:colOff>767816</xdr:colOff>
      <xdr:row>1220</xdr:row>
      <xdr:rowOff>167683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82377FEF-5C48-54F5-1EE2-BC97318B6A75}"/>
            </a:ext>
          </a:extLst>
        </xdr:cNvPr>
        <xdr:cNvSpPr/>
      </xdr:nvSpPr>
      <xdr:spPr>
        <a:xfrm>
          <a:off x="21631376" y="4351087"/>
          <a:ext cx="2348865" cy="236196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Commentaires</a:t>
          </a:r>
        </a:p>
      </xdr:txBody>
    </xdr:sp>
    <xdr:clientData/>
  </xdr:twoCellAnchor>
  <xdr:twoCellAnchor>
    <xdr:from>
      <xdr:col>9</xdr:col>
      <xdr:colOff>342900</xdr:colOff>
      <xdr:row>818</xdr:row>
      <xdr:rowOff>106680</xdr:rowOff>
    </xdr:from>
    <xdr:to>
      <xdr:col>9</xdr:col>
      <xdr:colOff>414900</xdr:colOff>
      <xdr:row>818</xdr:row>
      <xdr:rowOff>178680</xdr:rowOff>
    </xdr:to>
    <xdr:sp macro="" textlink="">
      <xdr:nvSpPr>
        <xdr:cNvPr id="35" name="Flèche : droite 34">
          <a:extLst>
            <a:ext uri="{FF2B5EF4-FFF2-40B4-BE49-F238E27FC236}">
              <a16:creationId xmlns:a16="http://schemas.microsoft.com/office/drawing/2014/main" id="{287DBCE2-78B4-438F-CD9D-AF6B9D8A42E6}"/>
            </a:ext>
          </a:extLst>
        </xdr:cNvPr>
        <xdr:cNvSpPr/>
      </xdr:nvSpPr>
      <xdr:spPr>
        <a:xfrm>
          <a:off x="7757160" y="4221480"/>
          <a:ext cx="72000" cy="72000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205740</xdr:colOff>
      <xdr:row>818</xdr:row>
      <xdr:rowOff>106680</xdr:rowOff>
    </xdr:from>
    <xdr:to>
      <xdr:col>9</xdr:col>
      <xdr:colOff>277740</xdr:colOff>
      <xdr:row>818</xdr:row>
      <xdr:rowOff>178680</xdr:rowOff>
    </xdr:to>
    <xdr:sp macro="" textlink="">
      <xdr:nvSpPr>
        <xdr:cNvPr id="36" name="Flèche : gauche 35">
          <a:extLst>
            <a:ext uri="{FF2B5EF4-FFF2-40B4-BE49-F238E27FC236}">
              <a16:creationId xmlns:a16="http://schemas.microsoft.com/office/drawing/2014/main" id="{E4F420BA-6EEC-2297-4824-E04219AE4EDC}"/>
            </a:ext>
          </a:extLst>
        </xdr:cNvPr>
        <xdr:cNvSpPr/>
      </xdr:nvSpPr>
      <xdr:spPr>
        <a:xfrm>
          <a:off x="7620000" y="4221480"/>
          <a:ext cx="72000" cy="72000"/>
        </a:xfrm>
        <a:prstGeom prst="lef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205740</xdr:colOff>
      <xdr:row>818</xdr:row>
      <xdr:rowOff>129540</xdr:rowOff>
    </xdr:from>
    <xdr:to>
      <xdr:col>13</xdr:col>
      <xdr:colOff>277740</xdr:colOff>
      <xdr:row>818</xdr:row>
      <xdr:rowOff>201540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3E725D88-30C5-CB05-CAAD-C69749D6CEB5}"/>
            </a:ext>
          </a:extLst>
        </xdr:cNvPr>
        <xdr:cNvSpPr/>
      </xdr:nvSpPr>
      <xdr:spPr>
        <a:xfrm>
          <a:off x="10789920" y="4244340"/>
          <a:ext cx="72000" cy="72000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38100</xdr:colOff>
      <xdr:row>818</xdr:row>
      <xdr:rowOff>129540</xdr:rowOff>
    </xdr:from>
    <xdr:to>
      <xdr:col>13</xdr:col>
      <xdr:colOff>110100</xdr:colOff>
      <xdr:row>818</xdr:row>
      <xdr:rowOff>201540</xdr:rowOff>
    </xdr:to>
    <xdr:sp macro="" textlink="">
      <xdr:nvSpPr>
        <xdr:cNvPr id="41" name="Flèche : gauche 40">
          <a:extLst>
            <a:ext uri="{FF2B5EF4-FFF2-40B4-BE49-F238E27FC236}">
              <a16:creationId xmlns:a16="http://schemas.microsoft.com/office/drawing/2014/main" id="{1986767B-D4D0-C97F-5BDE-0BDDB6B4BB01}"/>
            </a:ext>
          </a:extLst>
        </xdr:cNvPr>
        <xdr:cNvSpPr/>
      </xdr:nvSpPr>
      <xdr:spPr>
        <a:xfrm>
          <a:off x="10622280" y="4244340"/>
          <a:ext cx="72000" cy="72000"/>
        </a:xfrm>
        <a:prstGeom prst="lef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434340</xdr:colOff>
      <xdr:row>1212</xdr:row>
      <xdr:rowOff>45720</xdr:rowOff>
    </xdr:from>
    <xdr:to>
      <xdr:col>2</xdr:col>
      <xdr:colOff>525780</xdr:colOff>
      <xdr:row>1213</xdr:row>
      <xdr:rowOff>175260</xdr:rowOff>
    </xdr:to>
    <xdr:sp macro="[0]!Ajouter_Valeur_Maturite" textlink="">
      <xdr:nvSpPr>
        <xdr:cNvPr id="34" name="Rectangle : coins arrondis 33">
          <a:extLst>
            <a:ext uri="{FF2B5EF4-FFF2-40B4-BE49-F238E27FC236}">
              <a16:creationId xmlns:a16="http://schemas.microsoft.com/office/drawing/2014/main" id="{EC535EE8-D978-0485-5DAF-9D7C6C560090}"/>
            </a:ext>
          </a:extLst>
        </xdr:cNvPr>
        <xdr:cNvSpPr/>
      </xdr:nvSpPr>
      <xdr:spPr>
        <a:xfrm>
          <a:off x="434340" y="3063240"/>
          <a:ext cx="1676400" cy="3124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/>
            <a:t>Ajouter</a:t>
          </a:r>
          <a:r>
            <a:rPr lang="fr-FR" baseline="0"/>
            <a:t> </a:t>
          </a:r>
          <a:r>
            <a:rPr lang="fr-FR"/>
            <a:t>Valeur</a:t>
          </a:r>
          <a:r>
            <a:rPr lang="fr-FR" baseline="0"/>
            <a:t> </a:t>
          </a:r>
          <a:r>
            <a:rPr lang="fr-FR"/>
            <a:t>Attribuée</a:t>
          </a:r>
          <a:endParaRPr lang="fr-FR" sz="1100"/>
        </a:p>
      </xdr:txBody>
    </xdr:sp>
    <xdr:clientData/>
  </xdr:twoCellAnchor>
  <xdr:twoCellAnchor>
    <xdr:from>
      <xdr:col>0</xdr:col>
      <xdr:colOff>434340</xdr:colOff>
      <xdr:row>1214</xdr:row>
      <xdr:rowOff>53340</xdr:rowOff>
    </xdr:from>
    <xdr:to>
      <xdr:col>2</xdr:col>
      <xdr:colOff>526980</xdr:colOff>
      <xdr:row>1216</xdr:row>
      <xdr:rowOff>0</xdr:rowOff>
    </xdr:to>
    <xdr:sp macro="[0]!Ajouter_Commentaire_maturite" textlink="">
      <xdr:nvSpPr>
        <xdr:cNvPr id="42" name="Rectangle : coins arrondis 41">
          <a:extLst>
            <a:ext uri="{FF2B5EF4-FFF2-40B4-BE49-F238E27FC236}">
              <a16:creationId xmlns:a16="http://schemas.microsoft.com/office/drawing/2014/main" id="{12363606-5636-79A0-50D6-A90614EB5A8C}"/>
            </a:ext>
          </a:extLst>
        </xdr:cNvPr>
        <xdr:cNvSpPr/>
      </xdr:nvSpPr>
      <xdr:spPr>
        <a:xfrm>
          <a:off x="434340" y="3436620"/>
          <a:ext cx="1677600" cy="3124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/>
            <a:t>Ajouter</a:t>
          </a:r>
          <a:r>
            <a:rPr lang="fr-FR" baseline="0"/>
            <a:t> </a:t>
          </a:r>
          <a:r>
            <a:rPr lang="fr-FR"/>
            <a:t>Commentaire</a:t>
          </a:r>
          <a:endParaRPr lang="fr-FR" sz="1100"/>
        </a:p>
      </xdr:txBody>
    </xdr:sp>
    <xdr:clientData/>
  </xdr:twoCellAnchor>
  <xdr:twoCellAnchor>
    <xdr:from>
      <xdr:col>0</xdr:col>
      <xdr:colOff>419100</xdr:colOff>
      <xdr:row>1216</xdr:row>
      <xdr:rowOff>53340</xdr:rowOff>
    </xdr:from>
    <xdr:to>
      <xdr:col>2</xdr:col>
      <xdr:colOff>511740</xdr:colOff>
      <xdr:row>1218</xdr:row>
      <xdr:rowOff>780</xdr:rowOff>
    </xdr:to>
    <xdr:sp macro="[0]!Supprimer_Controle_Maturite" textlink="">
      <xdr:nvSpPr>
        <xdr:cNvPr id="43" name="Rectangle : coins arrondis 42">
          <a:extLst>
            <a:ext uri="{FF2B5EF4-FFF2-40B4-BE49-F238E27FC236}">
              <a16:creationId xmlns:a16="http://schemas.microsoft.com/office/drawing/2014/main" id="{34A58339-1651-45ED-96E4-309DABEB8712}"/>
            </a:ext>
          </a:extLst>
        </xdr:cNvPr>
        <xdr:cNvSpPr/>
      </xdr:nvSpPr>
      <xdr:spPr>
        <a:xfrm>
          <a:off x="419100" y="3802380"/>
          <a:ext cx="1677600" cy="313200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0</xdr:col>
      <xdr:colOff>776654</xdr:colOff>
      <xdr:row>1017</xdr:row>
      <xdr:rowOff>161192</xdr:rowOff>
    </xdr:from>
    <xdr:to>
      <xdr:col>3</xdr:col>
      <xdr:colOff>571500</xdr:colOff>
      <xdr:row>1019</xdr:row>
      <xdr:rowOff>14654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D2DE47BD-E8D8-38C5-CFF1-6F91FD6C8C13}"/>
            </a:ext>
          </a:extLst>
        </xdr:cNvPr>
        <xdr:cNvSpPr/>
      </xdr:nvSpPr>
      <xdr:spPr>
        <a:xfrm>
          <a:off x="776654" y="4066442"/>
          <a:ext cx="2293327" cy="219808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Bonnes pratiques identifiées</a:t>
          </a:r>
        </a:p>
      </xdr:txBody>
    </xdr:sp>
    <xdr:clientData/>
  </xdr:twoCellAnchor>
  <xdr:twoCellAnchor>
    <xdr:from>
      <xdr:col>11</xdr:col>
      <xdr:colOff>417634</xdr:colOff>
      <xdr:row>1017</xdr:row>
      <xdr:rowOff>131885</xdr:rowOff>
    </xdr:from>
    <xdr:to>
      <xdr:col>14</xdr:col>
      <xdr:colOff>336911</xdr:colOff>
      <xdr:row>1018</xdr:row>
      <xdr:rowOff>168312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48C5E26-854D-66C3-678D-DB05726C3867}"/>
            </a:ext>
          </a:extLst>
        </xdr:cNvPr>
        <xdr:cNvSpPr/>
      </xdr:nvSpPr>
      <xdr:spPr>
        <a:xfrm>
          <a:off x="9407769" y="4037135"/>
          <a:ext cx="2293200" cy="219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Défaillances enregistrées</a:t>
          </a:r>
        </a:p>
      </xdr:txBody>
    </xdr:sp>
    <xdr:clientData/>
  </xdr:twoCellAnchor>
  <xdr:twoCellAnchor>
    <xdr:from>
      <xdr:col>6</xdr:col>
      <xdr:colOff>14654</xdr:colOff>
      <xdr:row>1017</xdr:row>
      <xdr:rowOff>139213</xdr:rowOff>
    </xdr:from>
    <xdr:to>
      <xdr:col>8</xdr:col>
      <xdr:colOff>725238</xdr:colOff>
      <xdr:row>1018</xdr:row>
      <xdr:rowOff>175640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79E32FF-F0FA-5435-206A-D400ABC6B02D}"/>
            </a:ext>
          </a:extLst>
        </xdr:cNvPr>
        <xdr:cNvSpPr/>
      </xdr:nvSpPr>
      <xdr:spPr>
        <a:xfrm>
          <a:off x="5048250" y="4044463"/>
          <a:ext cx="2293200" cy="219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Recommandations</a:t>
          </a:r>
        </a:p>
      </xdr:txBody>
    </xdr:sp>
    <xdr:clientData/>
  </xdr:twoCellAnchor>
  <xdr:twoCellAnchor>
    <xdr:from>
      <xdr:col>17</xdr:col>
      <xdr:colOff>5862</xdr:colOff>
      <xdr:row>1017</xdr:row>
      <xdr:rowOff>137744</xdr:rowOff>
    </xdr:from>
    <xdr:to>
      <xdr:col>19</xdr:col>
      <xdr:colOff>716447</xdr:colOff>
      <xdr:row>1018</xdr:row>
      <xdr:rowOff>174171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B534CA88-05DF-4D2D-9709-C752AE2CC914}"/>
            </a:ext>
          </a:extLst>
        </xdr:cNvPr>
        <xdr:cNvSpPr/>
      </xdr:nvSpPr>
      <xdr:spPr>
        <a:xfrm>
          <a:off x="13743843" y="4042994"/>
          <a:ext cx="2293200" cy="2196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Recommandations</a:t>
          </a:r>
        </a:p>
      </xdr:txBody>
    </xdr:sp>
    <xdr:clientData/>
  </xdr:twoCellAnchor>
  <xdr:twoCellAnchor>
    <xdr:from>
      <xdr:col>10</xdr:col>
      <xdr:colOff>0</xdr:colOff>
      <xdr:row>1017</xdr:row>
      <xdr:rowOff>1</xdr:rowOff>
    </xdr:from>
    <xdr:to>
      <xdr:col>10</xdr:col>
      <xdr:colOff>7327</xdr:colOff>
      <xdr:row>1057</xdr:row>
      <xdr:rowOff>139212</xdr:rowOff>
    </xdr:to>
    <xdr:cxnSp macro="">
      <xdr:nvCxnSpPr>
        <xdr:cNvPr id="58" name="Connecteur droit 57">
          <a:extLst>
            <a:ext uri="{FF2B5EF4-FFF2-40B4-BE49-F238E27FC236}">
              <a16:creationId xmlns:a16="http://schemas.microsoft.com/office/drawing/2014/main" id="{3F6DB384-B87A-22A1-D419-5B3DC81DF63A}"/>
            </a:ext>
          </a:extLst>
        </xdr:cNvPr>
        <xdr:cNvCxnSpPr/>
      </xdr:nvCxnSpPr>
      <xdr:spPr>
        <a:xfrm flipH="1">
          <a:off x="8198827" y="3905251"/>
          <a:ext cx="7327" cy="7466134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271097</xdr:colOff>
      <xdr:row>1013</xdr:row>
      <xdr:rowOff>109905</xdr:rowOff>
    </xdr:from>
    <xdr:to>
      <xdr:col>2</xdr:col>
      <xdr:colOff>7328</xdr:colOff>
      <xdr:row>1015</xdr:row>
      <xdr:rowOff>43963</xdr:rowOff>
    </xdr:to>
    <xdr:sp macro="[0]!Synchroniser_Defaillantes_BonnesPratiques" textlink="">
      <xdr:nvSpPr>
        <xdr:cNvPr id="1026" name="Rectangle : coins arrondis 1025">
          <a:extLst>
            <a:ext uri="{FF2B5EF4-FFF2-40B4-BE49-F238E27FC236}">
              <a16:creationId xmlns:a16="http://schemas.microsoft.com/office/drawing/2014/main" id="{D4103A23-ED5E-8E23-F592-9EFC6E09D55A}"/>
            </a:ext>
          </a:extLst>
        </xdr:cNvPr>
        <xdr:cNvSpPr/>
      </xdr:nvSpPr>
      <xdr:spPr>
        <a:xfrm>
          <a:off x="271097" y="3282463"/>
          <a:ext cx="1318846" cy="300404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Synchroniser</a:t>
          </a:r>
        </a:p>
      </xdr:txBody>
    </xdr:sp>
    <xdr:clientData/>
  </xdr:twoCellAnchor>
  <xdr:twoCellAnchor>
    <xdr:from>
      <xdr:col>1</xdr:col>
      <xdr:colOff>762000</xdr:colOff>
      <xdr:row>1415</xdr:row>
      <xdr:rowOff>611</xdr:rowOff>
    </xdr:from>
    <xdr:to>
      <xdr:col>15</xdr:col>
      <xdr:colOff>20320</xdr:colOff>
      <xdr:row>1417</xdr:row>
      <xdr:rowOff>19661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6E12AC6B-7357-89B4-42CC-09923573139E}"/>
            </a:ext>
          </a:extLst>
        </xdr:cNvPr>
        <xdr:cNvSpPr/>
      </xdr:nvSpPr>
      <xdr:spPr>
        <a:xfrm>
          <a:off x="1554480" y="3597251"/>
          <a:ext cx="10637520" cy="38481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Classe/Indicateur</a:t>
          </a:r>
        </a:p>
      </xdr:txBody>
    </xdr:sp>
    <xdr:clientData/>
  </xdr:twoCellAnchor>
  <xdr:twoCellAnchor>
    <xdr:from>
      <xdr:col>15</xdr:col>
      <xdr:colOff>25263</xdr:colOff>
      <xdr:row>1415</xdr:row>
      <xdr:rowOff>0</xdr:rowOff>
    </xdr:from>
    <xdr:to>
      <xdr:col>17</xdr:col>
      <xdr:colOff>10160</xdr:colOff>
      <xdr:row>1417</xdr:row>
      <xdr:rowOff>20320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F3A20A1C-D21A-3E47-B01D-AFD755F608F2}"/>
            </a:ext>
          </a:extLst>
        </xdr:cNvPr>
        <xdr:cNvSpPr/>
      </xdr:nvSpPr>
      <xdr:spPr>
        <a:xfrm>
          <a:off x="12252432" y="3516923"/>
          <a:ext cx="1579236" cy="395459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Valeur</a:t>
          </a:r>
        </a:p>
      </xdr:txBody>
    </xdr:sp>
    <xdr:clientData/>
  </xdr:twoCellAnchor>
  <xdr:twoCellAnchor>
    <xdr:from>
      <xdr:col>17</xdr:col>
      <xdr:colOff>16900</xdr:colOff>
      <xdr:row>1415</xdr:row>
      <xdr:rowOff>2671</xdr:rowOff>
    </xdr:from>
    <xdr:to>
      <xdr:col>24</xdr:col>
      <xdr:colOff>785446</xdr:colOff>
      <xdr:row>1417</xdr:row>
      <xdr:rowOff>21721</xdr:rowOff>
    </xdr:to>
    <xdr:sp macro="" textlink="">
      <xdr:nvSpPr>
        <xdr:cNvPr id="1024" name="Rectangle 1023">
          <a:extLst>
            <a:ext uri="{FF2B5EF4-FFF2-40B4-BE49-F238E27FC236}">
              <a16:creationId xmlns:a16="http://schemas.microsoft.com/office/drawing/2014/main" id="{EE0F03E1-3015-8129-18B0-DF0326229913}"/>
            </a:ext>
          </a:extLst>
        </xdr:cNvPr>
        <xdr:cNvSpPr/>
      </xdr:nvSpPr>
      <xdr:spPr>
        <a:xfrm>
          <a:off x="13838408" y="3519594"/>
          <a:ext cx="6348730" cy="394189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Commentaires</a:t>
          </a:r>
        </a:p>
      </xdr:txBody>
    </xdr:sp>
    <xdr:clientData/>
  </xdr:twoCellAnchor>
  <xdr:twoCellAnchor>
    <xdr:from>
      <xdr:col>0</xdr:col>
      <xdr:colOff>782231</xdr:colOff>
      <xdr:row>1614</xdr:row>
      <xdr:rowOff>74177</xdr:rowOff>
    </xdr:from>
    <xdr:to>
      <xdr:col>3</xdr:col>
      <xdr:colOff>573186</xdr:colOff>
      <xdr:row>1615</xdr:row>
      <xdr:rowOff>168585</xdr:rowOff>
    </xdr:to>
    <xdr:sp macro="[0]!GenererTableauVulnerabilites" textlink="">
      <xdr:nvSpPr>
        <xdr:cNvPr id="1025" name="Rectangle : coins arrondis 1024">
          <a:extLst>
            <a:ext uri="{FF2B5EF4-FFF2-40B4-BE49-F238E27FC236}">
              <a16:creationId xmlns:a16="http://schemas.microsoft.com/office/drawing/2014/main" id="{DDBE3A8E-691E-966E-38CC-0E188F8D4FCB}"/>
            </a:ext>
          </a:extLst>
        </xdr:cNvPr>
        <xdr:cNvSpPr/>
      </xdr:nvSpPr>
      <xdr:spPr>
        <a:xfrm>
          <a:off x="782231" y="3432372"/>
          <a:ext cx="2299486" cy="276478"/>
        </a:xfrm>
        <a:prstGeom prst="roundRect">
          <a:avLst/>
        </a:prstGeom>
        <a:solidFill>
          <a:srgbClr val="DD6241">
            <a:alpha val="49804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Génerer le tableau de vulnérabilités</a:t>
          </a:r>
        </a:p>
      </xdr:txBody>
    </xdr:sp>
    <xdr:clientData/>
  </xdr:twoCellAnchor>
  <xdr:twoCellAnchor>
    <xdr:from>
      <xdr:col>1</xdr:col>
      <xdr:colOff>478779</xdr:colOff>
      <xdr:row>1616</xdr:row>
      <xdr:rowOff>121381</xdr:rowOff>
    </xdr:from>
    <xdr:to>
      <xdr:col>3</xdr:col>
      <xdr:colOff>107894</xdr:colOff>
      <xdr:row>1618</xdr:row>
      <xdr:rowOff>26973</xdr:rowOff>
    </xdr:to>
    <xdr:sp macro="[0]!VisualiserVulnerabilitesParDomaine" textlink="">
      <xdr:nvSpPr>
        <xdr:cNvPr id="1028" name="Rectangle : coins arrondis 1027">
          <a:extLst>
            <a:ext uri="{FF2B5EF4-FFF2-40B4-BE49-F238E27FC236}">
              <a16:creationId xmlns:a16="http://schemas.microsoft.com/office/drawing/2014/main" id="{7774C998-FD3E-447E-E36A-4B32C86F45F7}"/>
            </a:ext>
          </a:extLst>
        </xdr:cNvPr>
        <xdr:cNvSpPr/>
      </xdr:nvSpPr>
      <xdr:spPr>
        <a:xfrm>
          <a:off x="1274496" y="3843717"/>
          <a:ext cx="1341929" cy="269734"/>
        </a:xfrm>
        <a:prstGeom prst="roundRect">
          <a:avLst/>
        </a:prstGeom>
        <a:noFill/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Visualiser</a:t>
          </a:r>
          <a:r>
            <a:rPr lang="fr-FR" sz="1100" baseline="0"/>
            <a:t> </a:t>
          </a:r>
          <a:endParaRPr lang="fr-FR" sz="1100"/>
        </a:p>
      </xdr:txBody>
    </xdr:sp>
    <xdr:clientData/>
  </xdr:twoCellAnchor>
  <xdr:twoCellAnchor>
    <xdr:from>
      <xdr:col>0</xdr:col>
      <xdr:colOff>549797</xdr:colOff>
      <xdr:row>1619</xdr:row>
      <xdr:rowOff>135038</xdr:rowOff>
    </xdr:from>
    <xdr:to>
      <xdr:col>2</xdr:col>
      <xdr:colOff>299012</xdr:colOff>
      <xdr:row>1621</xdr:row>
      <xdr:rowOff>9646</xdr:rowOff>
    </xdr:to>
    <xdr:sp macro="" textlink="">
      <xdr:nvSpPr>
        <xdr:cNvPr id="1033" name="Rectangle 1032">
          <a:extLst>
            <a:ext uri="{FF2B5EF4-FFF2-40B4-BE49-F238E27FC236}">
              <a16:creationId xmlns:a16="http://schemas.microsoft.com/office/drawing/2014/main" id="{25BF735B-69CE-0870-C1DA-98D321D72C5D}"/>
            </a:ext>
          </a:extLst>
        </xdr:cNvPr>
        <xdr:cNvSpPr/>
      </xdr:nvSpPr>
      <xdr:spPr>
        <a:xfrm>
          <a:off x="549797" y="4427316"/>
          <a:ext cx="1331088" cy="2411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ID Vulnérabilité</a:t>
          </a:r>
        </a:p>
      </xdr:txBody>
    </xdr:sp>
    <xdr:clientData/>
  </xdr:twoCellAnchor>
  <xdr:twoCellAnchor>
    <xdr:from>
      <xdr:col>2</xdr:col>
      <xdr:colOff>781292</xdr:colOff>
      <xdr:row>1619</xdr:row>
      <xdr:rowOff>125393</xdr:rowOff>
    </xdr:from>
    <xdr:to>
      <xdr:col>4</xdr:col>
      <xdr:colOff>241139</xdr:colOff>
      <xdr:row>1621</xdr:row>
      <xdr:rowOff>1</xdr:rowOff>
    </xdr:to>
    <xdr:sp macro="" textlink="">
      <xdr:nvSpPr>
        <xdr:cNvPr id="1034" name="Rectangle 1033">
          <a:extLst>
            <a:ext uri="{FF2B5EF4-FFF2-40B4-BE49-F238E27FC236}">
              <a16:creationId xmlns:a16="http://schemas.microsoft.com/office/drawing/2014/main" id="{47794C06-DC02-4CBD-B5F9-364E0C919C30}"/>
            </a:ext>
          </a:extLst>
        </xdr:cNvPr>
        <xdr:cNvSpPr/>
      </xdr:nvSpPr>
      <xdr:spPr>
        <a:xfrm>
          <a:off x="2363165" y="4417671"/>
          <a:ext cx="1331088" cy="2411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Ref Contrôle</a:t>
          </a:r>
        </a:p>
      </xdr:txBody>
    </xdr:sp>
    <xdr:clientData/>
  </xdr:twoCellAnchor>
  <xdr:twoCellAnchor>
    <xdr:from>
      <xdr:col>6</xdr:col>
      <xdr:colOff>7718</xdr:colOff>
      <xdr:row>1619</xdr:row>
      <xdr:rowOff>133109</xdr:rowOff>
    </xdr:from>
    <xdr:to>
      <xdr:col>7</xdr:col>
      <xdr:colOff>547869</xdr:colOff>
      <xdr:row>1621</xdr:row>
      <xdr:rowOff>7717</xdr:rowOff>
    </xdr:to>
    <xdr:sp macro="" textlink="">
      <xdr:nvSpPr>
        <xdr:cNvPr id="1035" name="Rectangle 1034">
          <a:extLst>
            <a:ext uri="{FF2B5EF4-FFF2-40B4-BE49-F238E27FC236}">
              <a16:creationId xmlns:a16="http://schemas.microsoft.com/office/drawing/2014/main" id="{54A7CA04-5CA6-4A01-9201-6F8CA0291C9E}"/>
            </a:ext>
          </a:extLst>
        </xdr:cNvPr>
        <xdr:cNvSpPr/>
      </xdr:nvSpPr>
      <xdr:spPr>
        <a:xfrm>
          <a:off x="5042705" y="4425387"/>
          <a:ext cx="1331088" cy="2411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Domaine</a:t>
          </a:r>
        </a:p>
      </xdr:txBody>
    </xdr:sp>
    <xdr:clientData/>
  </xdr:twoCellAnchor>
  <xdr:twoCellAnchor>
    <xdr:from>
      <xdr:col>8</xdr:col>
      <xdr:colOff>574876</xdr:colOff>
      <xdr:row>1619</xdr:row>
      <xdr:rowOff>125393</xdr:rowOff>
    </xdr:from>
    <xdr:to>
      <xdr:col>11</xdr:col>
      <xdr:colOff>183267</xdr:colOff>
      <xdr:row>1621</xdr:row>
      <xdr:rowOff>61</xdr:rowOff>
    </xdr:to>
    <xdr:sp macro="" textlink="">
      <xdr:nvSpPr>
        <xdr:cNvPr id="1036" name="Rectangle 1035">
          <a:extLst>
            <a:ext uri="{FF2B5EF4-FFF2-40B4-BE49-F238E27FC236}">
              <a16:creationId xmlns:a16="http://schemas.microsoft.com/office/drawing/2014/main" id="{E9FE8C5F-D8E0-438A-A05B-5223533E703C}"/>
            </a:ext>
          </a:extLst>
        </xdr:cNvPr>
        <xdr:cNvSpPr/>
      </xdr:nvSpPr>
      <xdr:spPr>
        <a:xfrm>
          <a:off x="7191737" y="4417671"/>
          <a:ext cx="1981201" cy="2412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Description des Vulnérabilités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707985</xdr:colOff>
      <xdr:row>1619</xdr:row>
      <xdr:rowOff>129251</xdr:rowOff>
    </xdr:from>
    <xdr:to>
      <xdr:col>13</xdr:col>
      <xdr:colOff>457200</xdr:colOff>
      <xdr:row>1621</xdr:row>
      <xdr:rowOff>3859</xdr:rowOff>
    </xdr:to>
    <xdr:sp macro="" textlink="">
      <xdr:nvSpPr>
        <xdr:cNvPr id="1037" name="Rectangle 1036">
          <a:extLst>
            <a:ext uri="{FF2B5EF4-FFF2-40B4-BE49-F238E27FC236}">
              <a16:creationId xmlns:a16="http://schemas.microsoft.com/office/drawing/2014/main" id="{9F9D166D-90D9-493F-B822-CCFE618D7F1F}"/>
            </a:ext>
          </a:extLst>
        </xdr:cNvPr>
        <xdr:cNvSpPr/>
      </xdr:nvSpPr>
      <xdr:spPr>
        <a:xfrm>
          <a:off x="9697656" y="4421529"/>
          <a:ext cx="1331088" cy="2411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Preuve(s) d'audit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1930</xdr:colOff>
      <xdr:row>1619</xdr:row>
      <xdr:rowOff>117676</xdr:rowOff>
    </xdr:from>
    <xdr:to>
      <xdr:col>15</xdr:col>
      <xdr:colOff>542081</xdr:colOff>
      <xdr:row>1620</xdr:row>
      <xdr:rowOff>175550</xdr:rowOff>
    </xdr:to>
    <xdr:sp macro="" textlink="">
      <xdr:nvSpPr>
        <xdr:cNvPr id="1038" name="Rectangle 1037">
          <a:extLst>
            <a:ext uri="{FF2B5EF4-FFF2-40B4-BE49-F238E27FC236}">
              <a16:creationId xmlns:a16="http://schemas.microsoft.com/office/drawing/2014/main" id="{A8DB200D-9A1C-4AF6-B2CE-B5E18472B460}"/>
            </a:ext>
          </a:extLst>
        </xdr:cNvPr>
        <xdr:cNvSpPr/>
      </xdr:nvSpPr>
      <xdr:spPr>
        <a:xfrm>
          <a:off x="11364411" y="4409954"/>
          <a:ext cx="1331088" cy="24114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Actifs impactés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2</xdr:colOff>
      <xdr:row>1619</xdr:row>
      <xdr:rowOff>125392</xdr:rowOff>
    </xdr:from>
    <xdr:to>
      <xdr:col>18</xdr:col>
      <xdr:colOff>48228</xdr:colOff>
      <xdr:row>1621</xdr:row>
      <xdr:rowOff>60</xdr:rowOff>
    </xdr:to>
    <xdr:sp macro="" textlink="">
      <xdr:nvSpPr>
        <xdr:cNvPr id="1039" name="Rectangle 1038">
          <a:extLst>
            <a:ext uri="{FF2B5EF4-FFF2-40B4-BE49-F238E27FC236}">
              <a16:creationId xmlns:a16="http://schemas.microsoft.com/office/drawing/2014/main" id="{E0E419B6-F33E-4560-8715-3BB5450F9774}"/>
            </a:ext>
          </a:extLst>
        </xdr:cNvPr>
        <xdr:cNvSpPr/>
      </xdr:nvSpPr>
      <xdr:spPr>
        <a:xfrm>
          <a:off x="12944356" y="4417670"/>
          <a:ext cx="1630100" cy="2412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Impact d'exploitation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781291</xdr:colOff>
      <xdr:row>1619</xdr:row>
      <xdr:rowOff>125393</xdr:rowOff>
    </xdr:from>
    <xdr:to>
      <xdr:col>21</xdr:col>
      <xdr:colOff>549796</xdr:colOff>
      <xdr:row>1621</xdr:row>
      <xdr:rowOff>61</xdr:rowOff>
    </xdr:to>
    <xdr:sp macro="" textlink="">
      <xdr:nvSpPr>
        <xdr:cNvPr id="1040" name="Rectangle 1039">
          <a:extLst>
            <a:ext uri="{FF2B5EF4-FFF2-40B4-BE49-F238E27FC236}">
              <a16:creationId xmlns:a16="http://schemas.microsoft.com/office/drawing/2014/main" id="{67E9741A-733F-4D6B-8D92-730FF154AB36}"/>
            </a:ext>
          </a:extLst>
        </xdr:cNvPr>
        <xdr:cNvSpPr/>
      </xdr:nvSpPr>
      <xdr:spPr>
        <a:xfrm>
          <a:off x="15307519" y="4417671"/>
          <a:ext cx="2141315" cy="2412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Probabilité d'exploitation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295154</xdr:colOff>
      <xdr:row>1619</xdr:row>
      <xdr:rowOff>111888</xdr:rowOff>
    </xdr:from>
    <xdr:to>
      <xdr:col>24</xdr:col>
      <xdr:colOff>135038</xdr:colOff>
      <xdr:row>1620</xdr:row>
      <xdr:rowOff>169822</xdr:rowOff>
    </xdr:to>
    <xdr:sp macro="" textlink="">
      <xdr:nvSpPr>
        <xdr:cNvPr id="1041" name="Rectangle 1040">
          <a:extLst>
            <a:ext uri="{FF2B5EF4-FFF2-40B4-BE49-F238E27FC236}">
              <a16:creationId xmlns:a16="http://schemas.microsoft.com/office/drawing/2014/main" id="{88DAA7A9-5E3A-4BEF-AB5C-03AA13F1B498}"/>
            </a:ext>
          </a:extLst>
        </xdr:cNvPr>
        <xdr:cNvSpPr/>
      </xdr:nvSpPr>
      <xdr:spPr>
        <a:xfrm>
          <a:off x="17985129" y="4404166"/>
          <a:ext cx="1421757" cy="2412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Recommandation</a:t>
          </a:r>
          <a:r>
            <a:rPr lang="fr-F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endParaRPr lang="fr-FR" sz="1100"/>
        </a:p>
      </xdr:txBody>
    </xdr:sp>
    <xdr:clientData/>
  </xdr:twoCellAnchor>
  <xdr:twoCellAnchor>
    <xdr:from>
      <xdr:col>24</xdr:col>
      <xdr:colOff>767786</xdr:colOff>
      <xdr:row>1619</xdr:row>
      <xdr:rowOff>121536</xdr:rowOff>
    </xdr:from>
    <xdr:to>
      <xdr:col>27</xdr:col>
      <xdr:colOff>77163</xdr:colOff>
      <xdr:row>1620</xdr:row>
      <xdr:rowOff>179470</xdr:rowOff>
    </xdr:to>
    <xdr:sp macro="" textlink="">
      <xdr:nvSpPr>
        <xdr:cNvPr id="1042" name="Rectangle 1041">
          <a:extLst>
            <a:ext uri="{FF2B5EF4-FFF2-40B4-BE49-F238E27FC236}">
              <a16:creationId xmlns:a16="http://schemas.microsoft.com/office/drawing/2014/main" id="{24489075-E76D-4785-BB59-2AC654CCCA2A}"/>
            </a:ext>
          </a:extLst>
        </xdr:cNvPr>
        <xdr:cNvSpPr/>
      </xdr:nvSpPr>
      <xdr:spPr>
        <a:xfrm>
          <a:off x="20039634" y="4413814"/>
          <a:ext cx="1682187" cy="24120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 b="1" i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Mesure de traitement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129540</xdr:colOff>
      <xdr:row>0</xdr:row>
      <xdr:rowOff>160020</xdr:rowOff>
    </xdr:from>
    <xdr:to>
      <xdr:col>6</xdr:col>
      <xdr:colOff>114300</xdr:colOff>
      <xdr:row>4</xdr:row>
      <xdr:rowOff>53340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14B01E4-E28B-7E1C-CA39-05B91E000968}"/>
            </a:ext>
          </a:extLst>
        </xdr:cNvPr>
        <xdr:cNvSpPr/>
      </xdr:nvSpPr>
      <xdr:spPr>
        <a:xfrm>
          <a:off x="129540" y="160020"/>
          <a:ext cx="4739640" cy="624840"/>
        </a:xfrm>
        <a:prstGeom prst="round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2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Appréciation de risques</a:t>
          </a:r>
        </a:p>
      </xdr:txBody>
    </xdr:sp>
    <xdr:clientData/>
  </xdr:twoCellAnchor>
  <xdr:twoCellAnchor>
    <xdr:from>
      <xdr:col>0</xdr:col>
      <xdr:colOff>784860</xdr:colOff>
      <xdr:row>11</xdr:row>
      <xdr:rowOff>175260</xdr:rowOff>
    </xdr:from>
    <xdr:to>
      <xdr:col>4</xdr:col>
      <xdr:colOff>784860</xdr:colOff>
      <xdr:row>15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234C68-6607-ECFC-98F2-3FF0845D8FDD}"/>
            </a:ext>
          </a:extLst>
        </xdr:cNvPr>
        <xdr:cNvSpPr/>
      </xdr:nvSpPr>
      <xdr:spPr>
        <a:xfrm>
          <a:off x="784860" y="2186940"/>
          <a:ext cx="3169920" cy="55626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  <a:p>
          <a:pPr algn="ctr"/>
          <a:r>
            <a:rPr lang="fr-FR" sz="1100"/>
            <a:t>Processus métier</a:t>
          </a:r>
        </a:p>
      </xdr:txBody>
    </xdr:sp>
    <xdr:clientData/>
  </xdr:twoCellAnchor>
  <xdr:twoCellAnchor>
    <xdr:from>
      <xdr:col>5</xdr:col>
      <xdr:colOff>784860</xdr:colOff>
      <xdr:row>11</xdr:row>
      <xdr:rowOff>175260</xdr:rowOff>
    </xdr:from>
    <xdr:to>
      <xdr:col>10</xdr:col>
      <xdr:colOff>0</xdr:colOff>
      <xdr:row>15</xdr:row>
      <xdr:rowOff>15240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4036CD93-A6CE-465B-5C5C-24E25BC49D4F}"/>
            </a:ext>
          </a:extLst>
        </xdr:cNvPr>
        <xdr:cNvSpPr/>
      </xdr:nvSpPr>
      <xdr:spPr>
        <a:xfrm>
          <a:off x="4747260" y="2186940"/>
          <a:ext cx="3177540" cy="57150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  <a:p>
          <a:pPr algn="ctr"/>
          <a:r>
            <a:rPr lang="fr-FR" sz="1100"/>
            <a:t>Scénario de risque</a:t>
          </a:r>
        </a:p>
      </xdr:txBody>
    </xdr:sp>
    <xdr:clientData/>
  </xdr:twoCellAnchor>
  <xdr:twoCellAnchor>
    <xdr:from>
      <xdr:col>30</xdr:col>
      <xdr:colOff>784860</xdr:colOff>
      <xdr:row>11</xdr:row>
      <xdr:rowOff>167640</xdr:rowOff>
    </xdr:from>
    <xdr:to>
      <xdr:col>33</xdr:col>
      <xdr:colOff>45720</xdr:colOff>
      <xdr:row>14</xdr:row>
      <xdr:rowOff>160020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1F8D4FAF-8A07-B0C9-54FB-0CB5B0702531}"/>
            </a:ext>
          </a:extLst>
        </xdr:cNvPr>
        <xdr:cNvSpPr/>
      </xdr:nvSpPr>
      <xdr:spPr>
        <a:xfrm>
          <a:off x="24559260" y="2179320"/>
          <a:ext cx="1638300" cy="54102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  <a:p>
          <a:pPr algn="ctr"/>
          <a:r>
            <a:rPr lang="fr-FR" sz="1100"/>
            <a:t>Niveau de risque</a:t>
          </a:r>
        </a:p>
      </xdr:txBody>
    </xdr:sp>
    <xdr:clientData/>
  </xdr:twoCellAnchor>
  <xdr:twoCellAnchor>
    <xdr:from>
      <xdr:col>36</xdr:col>
      <xdr:colOff>685800</xdr:colOff>
      <xdr:row>11</xdr:row>
      <xdr:rowOff>99060</xdr:rowOff>
    </xdr:from>
    <xdr:to>
      <xdr:col>38</xdr:col>
      <xdr:colOff>175260</xdr:colOff>
      <xdr:row>15</xdr:row>
      <xdr:rowOff>45720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AEA9492-3766-5448-7A51-A580F4311373}"/>
            </a:ext>
          </a:extLst>
        </xdr:cNvPr>
        <xdr:cNvSpPr/>
      </xdr:nvSpPr>
      <xdr:spPr>
        <a:xfrm>
          <a:off x="29215080" y="2110740"/>
          <a:ext cx="1074420" cy="67818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Score de la mesure de sécurité</a:t>
          </a:r>
        </a:p>
      </xdr:txBody>
    </xdr:sp>
    <xdr:clientData/>
  </xdr:twoCellAnchor>
  <xdr:twoCellAnchor>
    <xdr:from>
      <xdr:col>34</xdr:col>
      <xdr:colOff>7620</xdr:colOff>
      <xdr:row>12</xdr:row>
      <xdr:rowOff>7620</xdr:rowOff>
    </xdr:from>
    <xdr:to>
      <xdr:col>36</xdr:col>
      <xdr:colOff>7620</xdr:colOff>
      <xdr:row>15</xdr:row>
      <xdr:rowOff>7620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DB31C9E-A95C-F993-10CA-11823C5B452F}"/>
            </a:ext>
          </a:extLst>
        </xdr:cNvPr>
        <xdr:cNvSpPr/>
      </xdr:nvSpPr>
      <xdr:spPr>
        <a:xfrm>
          <a:off x="26951940" y="2202180"/>
          <a:ext cx="1584960" cy="54864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  <a:p>
          <a:pPr algn="ctr"/>
          <a:r>
            <a:rPr lang="fr-FR" sz="1100"/>
            <a:t>Mesure de Sécurité</a:t>
          </a:r>
        </a:p>
      </xdr:txBody>
    </xdr:sp>
    <xdr:clientData/>
  </xdr:twoCellAnchor>
  <xdr:twoCellAnchor>
    <xdr:from>
      <xdr:col>10</xdr:col>
      <xdr:colOff>739140</xdr:colOff>
      <xdr:row>11</xdr:row>
      <xdr:rowOff>152400</xdr:rowOff>
    </xdr:from>
    <xdr:to>
      <xdr:col>13</xdr:col>
      <xdr:colOff>68580</xdr:colOff>
      <xdr:row>14</xdr:row>
      <xdr:rowOff>175260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1ADEC83-F09A-7194-116B-73AF18E8C8BF}"/>
            </a:ext>
          </a:extLst>
        </xdr:cNvPr>
        <xdr:cNvSpPr/>
      </xdr:nvSpPr>
      <xdr:spPr>
        <a:xfrm>
          <a:off x="8663940" y="2164080"/>
          <a:ext cx="1706880" cy="57150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  <a:p>
          <a:pPr algn="ctr"/>
          <a:r>
            <a:rPr lang="fr-FR" sz="1100"/>
            <a:t>Référence de vulnérabilité</a:t>
          </a:r>
        </a:p>
      </xdr:txBody>
    </xdr:sp>
    <xdr:clientData/>
  </xdr:twoCellAnchor>
  <xdr:twoCellAnchor>
    <xdr:from>
      <xdr:col>29</xdr:col>
      <xdr:colOff>7620</xdr:colOff>
      <xdr:row>11</xdr:row>
      <xdr:rowOff>137160</xdr:rowOff>
    </xdr:from>
    <xdr:to>
      <xdr:col>30</xdr:col>
      <xdr:colOff>38100</xdr:colOff>
      <xdr:row>15</xdr:row>
      <xdr:rowOff>7620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24E7AE27-C011-D193-5649-3029004517E4}"/>
            </a:ext>
          </a:extLst>
        </xdr:cNvPr>
        <xdr:cNvSpPr/>
      </xdr:nvSpPr>
      <xdr:spPr>
        <a:xfrm>
          <a:off x="22989540" y="2148840"/>
          <a:ext cx="822960" cy="60198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  <a:p>
          <a:pPr algn="ctr"/>
          <a:r>
            <a:rPr lang="fr-FR" sz="1100"/>
            <a:t>Probabilité</a:t>
          </a:r>
        </a:p>
      </xdr:txBody>
    </xdr:sp>
    <xdr:clientData/>
  </xdr:twoCellAnchor>
  <xdr:twoCellAnchor>
    <xdr:from>
      <xdr:col>38</xdr:col>
      <xdr:colOff>784860</xdr:colOff>
      <xdr:row>12</xdr:row>
      <xdr:rowOff>15240</xdr:rowOff>
    </xdr:from>
    <xdr:to>
      <xdr:col>43</xdr:col>
      <xdr:colOff>7620</xdr:colOff>
      <xdr:row>14</xdr:row>
      <xdr:rowOff>167640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AE2C137-ACF3-57B1-E59A-B6AACB9BD264}"/>
            </a:ext>
          </a:extLst>
        </xdr:cNvPr>
        <xdr:cNvSpPr/>
      </xdr:nvSpPr>
      <xdr:spPr>
        <a:xfrm>
          <a:off x="30899100" y="2209800"/>
          <a:ext cx="3185160" cy="51816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  <a:p>
          <a:pPr algn="ctr"/>
          <a:r>
            <a:rPr lang="fr-FR" sz="1100"/>
            <a:t>Recommandation</a:t>
          </a:r>
        </a:p>
      </xdr:txBody>
    </xdr:sp>
    <xdr:clientData/>
  </xdr:twoCellAnchor>
  <xdr:twoCellAnchor>
    <xdr:from>
      <xdr:col>43</xdr:col>
      <xdr:colOff>777240</xdr:colOff>
      <xdr:row>11</xdr:row>
      <xdr:rowOff>160020</xdr:rowOff>
    </xdr:from>
    <xdr:to>
      <xdr:col>46</xdr:col>
      <xdr:colOff>388620</xdr:colOff>
      <xdr:row>15</xdr:row>
      <xdr:rowOff>7620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29E912A-87F2-03AB-034E-FD723DAAFFCC}"/>
            </a:ext>
          </a:extLst>
        </xdr:cNvPr>
        <xdr:cNvSpPr/>
      </xdr:nvSpPr>
      <xdr:spPr>
        <a:xfrm>
          <a:off x="34853880" y="2171700"/>
          <a:ext cx="1988820" cy="57912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Complexité de recommandation</a:t>
          </a:r>
        </a:p>
      </xdr:txBody>
    </xdr:sp>
    <xdr:clientData/>
  </xdr:twoCellAnchor>
  <xdr:twoCellAnchor>
    <xdr:from>
      <xdr:col>13</xdr:col>
      <xdr:colOff>762000</xdr:colOff>
      <xdr:row>11</xdr:row>
      <xdr:rowOff>167640</xdr:rowOff>
    </xdr:from>
    <xdr:to>
      <xdr:col>17</xdr:col>
      <xdr:colOff>30480</xdr:colOff>
      <xdr:row>15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460F3A78-1BDE-D18F-108A-6AEC9C38CC8B}"/>
            </a:ext>
          </a:extLst>
        </xdr:cNvPr>
        <xdr:cNvSpPr/>
      </xdr:nvSpPr>
      <xdr:spPr>
        <a:xfrm>
          <a:off x="11064240" y="2179320"/>
          <a:ext cx="2438400" cy="56388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  <a:p>
          <a:pPr algn="ctr"/>
          <a:r>
            <a:rPr lang="fr-FR" sz="1100"/>
            <a:t>Composante du SI impactée</a:t>
          </a:r>
        </a:p>
      </xdr:txBody>
    </xdr:sp>
    <xdr:clientData/>
  </xdr:twoCellAnchor>
  <xdr:twoCellAnchor>
    <xdr:from>
      <xdr:col>17</xdr:col>
      <xdr:colOff>777240</xdr:colOff>
      <xdr:row>11</xdr:row>
      <xdr:rowOff>152400</xdr:rowOff>
    </xdr:from>
    <xdr:to>
      <xdr:col>28</xdr:col>
      <xdr:colOff>53340</xdr:colOff>
      <xdr:row>15</xdr:row>
      <xdr:rowOff>7620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46685F6C-A273-E4AB-0C3E-ED80F5A8006A}"/>
            </a:ext>
          </a:extLst>
        </xdr:cNvPr>
        <xdr:cNvSpPr/>
      </xdr:nvSpPr>
      <xdr:spPr>
        <a:xfrm>
          <a:off x="14249400" y="2164080"/>
          <a:ext cx="7993380" cy="586740"/>
        </a:xfrm>
        <a:prstGeom prst="rect">
          <a:avLst/>
        </a:prstGeom>
        <a:ln>
          <a:solidFill>
            <a:schemeClr val="accent4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Impact</a:t>
          </a:r>
        </a:p>
      </xdr:txBody>
    </xdr:sp>
    <xdr:clientData/>
  </xdr:twoCellAnchor>
  <xdr:twoCellAnchor>
    <xdr:from>
      <xdr:col>18</xdr:col>
      <xdr:colOff>243840</xdr:colOff>
      <xdr:row>13</xdr:row>
      <xdr:rowOff>38100</xdr:rowOff>
    </xdr:from>
    <xdr:to>
      <xdr:col>19</xdr:col>
      <xdr:colOff>708660</xdr:colOff>
      <xdr:row>14</xdr:row>
      <xdr:rowOff>136020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621066AB-342B-6CFA-0944-7E1666272897}"/>
            </a:ext>
          </a:extLst>
        </xdr:cNvPr>
        <xdr:cNvSpPr/>
      </xdr:nvSpPr>
      <xdr:spPr>
        <a:xfrm>
          <a:off x="14508480" y="2415540"/>
          <a:ext cx="1257300" cy="2808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Impact financier</a:t>
          </a:r>
        </a:p>
      </xdr:txBody>
    </xdr:sp>
    <xdr:clientData/>
  </xdr:twoCellAnchor>
  <xdr:twoCellAnchor>
    <xdr:from>
      <xdr:col>20</xdr:col>
      <xdr:colOff>167640</xdr:colOff>
      <xdr:row>13</xdr:row>
      <xdr:rowOff>38100</xdr:rowOff>
    </xdr:from>
    <xdr:to>
      <xdr:col>21</xdr:col>
      <xdr:colOff>731520</xdr:colOff>
      <xdr:row>14</xdr:row>
      <xdr:rowOff>137160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F037701C-8DBF-B5F7-0309-0DE2B4B3F2C4}"/>
            </a:ext>
          </a:extLst>
        </xdr:cNvPr>
        <xdr:cNvSpPr/>
      </xdr:nvSpPr>
      <xdr:spPr>
        <a:xfrm>
          <a:off x="16017240" y="2415540"/>
          <a:ext cx="1356360" cy="281940"/>
        </a:xfrm>
        <a:prstGeom prst="rect">
          <a:avLst/>
        </a:prstGeom>
        <a:gradFill flip="none" rotWithShape="1"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  <a:lin ang="2700000" scaled="1"/>
          <a:tileRect/>
        </a:gradFill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Impact Répultion</a:t>
          </a:r>
        </a:p>
      </xdr:txBody>
    </xdr:sp>
    <xdr:clientData/>
  </xdr:twoCellAnchor>
  <xdr:twoCellAnchor>
    <xdr:from>
      <xdr:col>22</xdr:col>
      <xdr:colOff>53340</xdr:colOff>
      <xdr:row>13</xdr:row>
      <xdr:rowOff>38100</xdr:rowOff>
    </xdr:from>
    <xdr:to>
      <xdr:col>24</xdr:col>
      <xdr:colOff>7620</xdr:colOff>
      <xdr:row>14</xdr:row>
      <xdr:rowOff>136020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6B624688-81A6-09F9-15D2-36D9786B9EBD}"/>
            </a:ext>
          </a:extLst>
        </xdr:cNvPr>
        <xdr:cNvSpPr/>
      </xdr:nvSpPr>
      <xdr:spPr>
        <a:xfrm>
          <a:off x="17487900" y="2415540"/>
          <a:ext cx="1539240" cy="2808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Impact opérationnel</a:t>
          </a:r>
        </a:p>
      </xdr:txBody>
    </xdr:sp>
    <xdr:clientData/>
  </xdr:twoCellAnchor>
  <xdr:twoCellAnchor>
    <xdr:from>
      <xdr:col>24</xdr:col>
      <xdr:colOff>60960</xdr:colOff>
      <xdr:row>13</xdr:row>
      <xdr:rowOff>38100</xdr:rowOff>
    </xdr:from>
    <xdr:to>
      <xdr:col>26</xdr:col>
      <xdr:colOff>28937</xdr:colOff>
      <xdr:row>14</xdr:row>
      <xdr:rowOff>115746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932B432-18E4-F096-00E9-B57E27B07251}"/>
            </a:ext>
          </a:extLst>
        </xdr:cNvPr>
        <xdr:cNvSpPr/>
      </xdr:nvSpPr>
      <xdr:spPr>
        <a:xfrm>
          <a:off x="19043441" y="2420556"/>
          <a:ext cx="1549850" cy="260912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Impact environnement</a:t>
          </a:r>
        </a:p>
      </xdr:txBody>
    </xdr:sp>
    <xdr:clientData/>
  </xdr:twoCellAnchor>
  <xdr:twoCellAnchor>
    <xdr:from>
      <xdr:col>26</xdr:col>
      <xdr:colOff>144780</xdr:colOff>
      <xdr:row>13</xdr:row>
      <xdr:rowOff>38100</xdr:rowOff>
    </xdr:from>
    <xdr:to>
      <xdr:col>27</xdr:col>
      <xdr:colOff>709500</xdr:colOff>
      <xdr:row>14</xdr:row>
      <xdr:rowOff>136020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CF4D64A-2775-171A-7744-5F8901AAED90}"/>
            </a:ext>
          </a:extLst>
        </xdr:cNvPr>
        <xdr:cNvSpPr/>
      </xdr:nvSpPr>
      <xdr:spPr>
        <a:xfrm>
          <a:off x="20749260" y="2415540"/>
          <a:ext cx="1357200" cy="2808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Valeur finale</a:t>
          </a:r>
        </a:p>
      </xdr:txBody>
    </xdr:sp>
    <xdr:clientData/>
  </xdr:twoCellAnchor>
  <xdr:twoCellAnchor>
    <xdr:from>
      <xdr:col>5</xdr:col>
      <xdr:colOff>520860</xdr:colOff>
      <xdr:row>6</xdr:row>
      <xdr:rowOff>154329</xdr:rowOff>
    </xdr:from>
    <xdr:to>
      <xdr:col>7</xdr:col>
      <xdr:colOff>723418</xdr:colOff>
      <xdr:row>8</xdr:row>
      <xdr:rowOff>163974</xdr:rowOff>
    </xdr:to>
    <xdr:sp macro="[0]!RemplirChampsProcessus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0EBAC3A1-3CB2-9B9F-FAF7-E759847DAF35}"/>
            </a:ext>
          </a:extLst>
        </xdr:cNvPr>
        <xdr:cNvSpPr/>
      </xdr:nvSpPr>
      <xdr:spPr>
        <a:xfrm>
          <a:off x="4475544" y="1253924"/>
          <a:ext cx="1784431" cy="376177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Ajouter </a:t>
          </a:r>
        </a:p>
      </xdr:txBody>
    </xdr:sp>
    <xdr:clientData/>
  </xdr:twoCellAnchor>
  <xdr:twoCellAnchor>
    <xdr:from>
      <xdr:col>1</xdr:col>
      <xdr:colOff>733063</xdr:colOff>
      <xdr:row>7</xdr:row>
      <xdr:rowOff>19291</xdr:rowOff>
    </xdr:from>
    <xdr:to>
      <xdr:col>4</xdr:col>
      <xdr:colOff>598025</xdr:colOff>
      <xdr:row>9</xdr:row>
      <xdr:rowOff>38583</xdr:rowOff>
    </xdr:to>
    <xdr:sp macro="[0]!SyncProcessu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6B58D327-D252-04C8-2107-B78CFE92384B}"/>
            </a:ext>
          </a:extLst>
        </xdr:cNvPr>
        <xdr:cNvSpPr/>
      </xdr:nvSpPr>
      <xdr:spPr>
        <a:xfrm>
          <a:off x="1524000" y="1302152"/>
          <a:ext cx="2237772" cy="385823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Synchroniser</a:t>
          </a:r>
        </a:p>
      </xdr:txBody>
    </xdr:sp>
    <xdr:clientData/>
  </xdr:twoCellAnchor>
  <xdr:twoCellAnchor>
    <xdr:from>
      <xdr:col>8</xdr:col>
      <xdr:colOff>356886</xdr:colOff>
      <xdr:row>7</xdr:row>
      <xdr:rowOff>1</xdr:rowOff>
    </xdr:from>
    <xdr:to>
      <xdr:col>10</xdr:col>
      <xdr:colOff>299013</xdr:colOff>
      <xdr:row>9</xdr:row>
      <xdr:rowOff>2</xdr:rowOff>
    </xdr:to>
    <xdr:sp macro="[0]!SupprimerProcessus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D9586DCC-C5D0-ED29-9BB2-D3FEF92AD748}"/>
            </a:ext>
          </a:extLst>
        </xdr:cNvPr>
        <xdr:cNvSpPr/>
      </xdr:nvSpPr>
      <xdr:spPr>
        <a:xfrm>
          <a:off x="6684380" y="1282862"/>
          <a:ext cx="1524000" cy="366532"/>
        </a:xfrm>
        <a:prstGeom prst="round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Supprimer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C654F2-210B-42B0-9C9E-87EB818DC690}" name="Tableau1" displayName="Tableau1" ref="BB1436:BB1438" totalsRowShown="0" headerRowDxfId="2" dataDxfId="1">
  <autoFilter ref="BB1436:BB1438" xr:uid="{B9C654F2-210B-42B0-9C9E-87EB818DC690}"/>
  <tableColumns count="1">
    <tableColumn id="1" xr3:uid="{87153E68-13E6-4305-8758-953292DB1CE9}" name="Colonne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4FDC7-1E5F-4344-81C3-4164181461DA}">
  <sheetPr codeName="Feuil6"/>
  <dimension ref="G6:Q37"/>
  <sheetViews>
    <sheetView topLeftCell="D1" workbookViewId="0">
      <selection activeCell="B19" sqref="B19"/>
    </sheetView>
  </sheetViews>
  <sheetFormatPr baseColWidth="10" defaultRowHeight="14.4" x14ac:dyDescent="0.3"/>
  <sheetData>
    <row r="6" spans="8:17" x14ac:dyDescent="0.3">
      <c r="Q6" t="s">
        <v>24</v>
      </c>
    </row>
    <row r="13" spans="8:17" ht="28.8" x14ac:dyDescent="0.55000000000000004">
      <c r="H13" s="83" t="s">
        <v>655</v>
      </c>
    </row>
    <row r="14" spans="8:17" ht="28.8" x14ac:dyDescent="0.55000000000000004">
      <c r="I14" s="83"/>
    </row>
    <row r="18" spans="7:12" ht="23.4" x14ac:dyDescent="0.45">
      <c r="J18" s="84" t="s">
        <v>656</v>
      </c>
      <c r="K18" t="s">
        <v>24</v>
      </c>
    </row>
    <row r="25" spans="7:12" ht="21" x14ac:dyDescent="0.4">
      <c r="G25" s="85" t="s">
        <v>657</v>
      </c>
      <c r="L25" t="s">
        <v>24</v>
      </c>
    </row>
    <row r="27" spans="7:12" ht="21" x14ac:dyDescent="0.4">
      <c r="G27" s="85" t="s">
        <v>658</v>
      </c>
    </row>
    <row r="35" spans="7:10" x14ac:dyDescent="0.3">
      <c r="G35" t="s">
        <v>659</v>
      </c>
      <c r="I35" t="s">
        <v>660</v>
      </c>
      <c r="J35" t="s">
        <v>525</v>
      </c>
    </row>
    <row r="37" spans="7:10" x14ac:dyDescent="0.3">
      <c r="G37" t="s">
        <v>24</v>
      </c>
      <c r="I37" t="s">
        <v>24</v>
      </c>
      <c r="J37" t="s">
        <v>24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9FFAB-1A3D-4904-B407-E951496B62AA}">
  <sheetPr codeName="Feuil7"/>
  <dimension ref="D19:P200"/>
  <sheetViews>
    <sheetView workbookViewId="0">
      <selection activeCell="E130" sqref="E130"/>
    </sheetView>
  </sheetViews>
  <sheetFormatPr baseColWidth="10" defaultRowHeight="14.4" x14ac:dyDescent="0.3"/>
  <sheetData>
    <row r="19" spans="4:4" x14ac:dyDescent="0.3">
      <c r="D19" t="s">
        <v>647</v>
      </c>
    </row>
    <row r="21" spans="4:4" x14ac:dyDescent="0.3">
      <c r="D21" t="s">
        <v>648</v>
      </c>
    </row>
    <row r="23" spans="4:4" x14ac:dyDescent="0.3">
      <c r="D23" t="s">
        <v>649</v>
      </c>
    </row>
    <row r="25" spans="4:4" x14ac:dyDescent="0.3">
      <c r="D25" t="s">
        <v>650</v>
      </c>
    </row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spans="4:13" hidden="1" x14ac:dyDescent="0.3"/>
    <row r="50" spans="4:13" hidden="1" x14ac:dyDescent="0.3">
      <c r="D50" t="s">
        <v>651</v>
      </c>
      <c r="G50" s="79" t="s">
        <v>651</v>
      </c>
      <c r="J50" t="s">
        <v>651</v>
      </c>
      <c r="M50" t="s">
        <v>652</v>
      </c>
    </row>
    <row r="51" spans="4:13" hidden="1" x14ac:dyDescent="0.3"/>
    <row r="52" spans="4:13" hidden="1" x14ac:dyDescent="0.3"/>
    <row r="53" spans="4:13" hidden="1" x14ac:dyDescent="0.3"/>
    <row r="54" spans="4:13" hidden="1" x14ac:dyDescent="0.3"/>
    <row r="55" spans="4:13" hidden="1" x14ac:dyDescent="0.3"/>
    <row r="56" spans="4:13" hidden="1" x14ac:dyDescent="0.3"/>
    <row r="57" spans="4:13" hidden="1" x14ac:dyDescent="0.3"/>
    <row r="58" spans="4:13" hidden="1" x14ac:dyDescent="0.3"/>
    <row r="59" spans="4:13" hidden="1" x14ac:dyDescent="0.3"/>
    <row r="60" spans="4:13" hidden="1" x14ac:dyDescent="0.3"/>
    <row r="61" spans="4:13" hidden="1" x14ac:dyDescent="0.3"/>
    <row r="62" spans="4:13" hidden="1" x14ac:dyDescent="0.3"/>
    <row r="63" spans="4:13" hidden="1" x14ac:dyDescent="0.3"/>
    <row r="64" spans="4:13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spans="4:16" hidden="1" x14ac:dyDescent="0.3"/>
    <row r="82" spans="4:16" hidden="1" x14ac:dyDescent="0.3"/>
    <row r="83" spans="4:16" hidden="1" x14ac:dyDescent="0.3"/>
    <row r="84" spans="4:16" hidden="1" x14ac:dyDescent="0.3"/>
    <row r="85" spans="4:16" hidden="1" x14ac:dyDescent="0.3"/>
    <row r="86" spans="4:16" hidden="1" x14ac:dyDescent="0.3"/>
    <row r="87" spans="4:16" hidden="1" x14ac:dyDescent="0.3"/>
    <row r="88" spans="4:16" hidden="1" x14ac:dyDescent="0.3"/>
    <row r="89" spans="4:16" hidden="1" x14ac:dyDescent="0.3">
      <c r="D89" t="s">
        <v>653</v>
      </c>
      <c r="G89" t="s">
        <v>653</v>
      </c>
      <c r="J89" t="s">
        <v>653</v>
      </c>
      <c r="M89" t="s">
        <v>653</v>
      </c>
      <c r="P89" t="s">
        <v>654</v>
      </c>
    </row>
    <row r="90" spans="4:16" hidden="1" x14ac:dyDescent="0.3"/>
    <row r="91" spans="4:16" hidden="1" x14ac:dyDescent="0.3"/>
    <row r="92" spans="4:16" hidden="1" x14ac:dyDescent="0.3"/>
    <row r="93" spans="4:16" hidden="1" x14ac:dyDescent="0.3"/>
    <row r="94" spans="4:16" hidden="1" x14ac:dyDescent="0.3"/>
    <row r="95" spans="4:16" hidden="1" x14ac:dyDescent="0.3"/>
    <row r="96" spans="4:1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Check Box 1">
              <controlPr defaultSize="0" autoFill="0" autoLine="0" autoPict="0">
                <anchor moveWithCells="1">
                  <from>
                    <xdr:col>8</xdr:col>
                    <xdr:colOff>259080</xdr:colOff>
                    <xdr:row>18</xdr:row>
                    <xdr:rowOff>7620</xdr:rowOff>
                  </from>
                  <to>
                    <xdr:col>8</xdr:col>
                    <xdr:colOff>495300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>
                <anchor moveWithCells="1">
                  <from>
                    <xdr:col>7</xdr:col>
                    <xdr:colOff>464820</xdr:colOff>
                    <xdr:row>118</xdr:row>
                    <xdr:rowOff>38100</xdr:rowOff>
                  </from>
                  <to>
                    <xdr:col>7</xdr:col>
                    <xdr:colOff>701040</xdr:colOff>
                    <xdr:row>200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>
                <anchor moveWithCells="1">
                  <from>
                    <xdr:col>9</xdr:col>
                    <xdr:colOff>121920</xdr:colOff>
                    <xdr:row>21</xdr:row>
                    <xdr:rowOff>175260</xdr:rowOff>
                  </from>
                  <to>
                    <xdr:col>9</xdr:col>
                    <xdr:colOff>381000</xdr:colOff>
                    <xdr:row>23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>
                <anchor moveWithCells="1">
                  <from>
                    <xdr:col>12</xdr:col>
                    <xdr:colOff>289560</xdr:colOff>
                    <xdr:row>24</xdr:row>
                    <xdr:rowOff>7620</xdr:rowOff>
                  </from>
                  <to>
                    <xdr:col>12</xdr:col>
                    <xdr:colOff>533400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>
                <anchor moveWithCells="1">
                  <from>
                    <xdr:col>7</xdr:col>
                    <xdr:colOff>434340</xdr:colOff>
                    <xdr:row>20</xdr:row>
                    <xdr:rowOff>7620</xdr:rowOff>
                  </from>
                  <to>
                    <xdr:col>7</xdr:col>
                    <xdr:colOff>655320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2CD1-96F2-4166-9252-81751D0F1651}">
  <sheetPr codeName="Feuil9"/>
  <dimension ref="A1"/>
  <sheetViews>
    <sheetView workbookViewId="0">
      <selection activeCell="C20" sqref="C20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16990-B4F3-401E-8459-9422C2216269}">
  <sheetPr codeName="Feuil8"/>
  <dimension ref="F15:K100"/>
  <sheetViews>
    <sheetView zoomScale="57" workbookViewId="0">
      <selection activeCell="O33" sqref="O33"/>
    </sheetView>
  </sheetViews>
  <sheetFormatPr baseColWidth="10" defaultRowHeight="14.4" x14ac:dyDescent="0.3"/>
  <sheetData>
    <row r="15" spans="6:11" x14ac:dyDescent="0.3">
      <c r="F15" s="6"/>
      <c r="G15" t="s">
        <v>479</v>
      </c>
      <c r="I15" s="6"/>
      <c r="K15" s="82" t="s">
        <v>480</v>
      </c>
    </row>
    <row r="16" spans="6:11" x14ac:dyDescent="0.3">
      <c r="F16" s="6"/>
      <c r="G16" t="s">
        <v>481</v>
      </c>
      <c r="I16" s="6"/>
      <c r="K16" s="6" t="s">
        <v>482</v>
      </c>
    </row>
    <row r="17" spans="6:11" x14ac:dyDescent="0.3">
      <c r="F17" s="6"/>
      <c r="G17" t="s">
        <v>483</v>
      </c>
      <c r="I17" s="6"/>
      <c r="K17" s="82" t="s">
        <v>484</v>
      </c>
    </row>
    <row r="18" spans="6:11" x14ac:dyDescent="0.3">
      <c r="F18" s="6"/>
      <c r="G18" t="s">
        <v>485</v>
      </c>
      <c r="I18" s="6"/>
      <c r="K18" s="6" t="s">
        <v>486</v>
      </c>
    </row>
    <row r="19" spans="6:11" x14ac:dyDescent="0.3">
      <c r="F19" s="6"/>
      <c r="G19" t="s">
        <v>487</v>
      </c>
      <c r="I19" s="6"/>
      <c r="K19" s="82" t="s">
        <v>488</v>
      </c>
    </row>
    <row r="20" spans="6:11" x14ac:dyDescent="0.3">
      <c r="F20" s="6"/>
      <c r="G20" t="s">
        <v>489</v>
      </c>
      <c r="I20" s="6"/>
      <c r="K20" s="6" t="s">
        <v>490</v>
      </c>
    </row>
    <row r="21" spans="6:11" x14ac:dyDescent="0.3">
      <c r="F21" s="6"/>
      <c r="G21" t="s">
        <v>491</v>
      </c>
      <c r="I21" s="6"/>
      <c r="K21" s="82" t="s">
        <v>492</v>
      </c>
    </row>
    <row r="22" spans="6:11" x14ac:dyDescent="0.3">
      <c r="F22" s="6"/>
      <c r="G22" t="s">
        <v>493</v>
      </c>
      <c r="I22" s="6"/>
      <c r="K22" s="6" t="s">
        <v>494</v>
      </c>
    </row>
    <row r="23" spans="6:11" x14ac:dyDescent="0.3">
      <c r="F23" s="6"/>
      <c r="G23" t="s">
        <v>495</v>
      </c>
      <c r="I23" s="6"/>
      <c r="K23" s="82" t="s">
        <v>496</v>
      </c>
    </row>
    <row r="24" spans="6:11" x14ac:dyDescent="0.3">
      <c r="F24" s="6"/>
      <c r="G24" t="s">
        <v>497</v>
      </c>
      <c r="I24" s="6"/>
      <c r="K24" s="6" t="s">
        <v>498</v>
      </c>
    </row>
    <row r="25" spans="6:11" x14ac:dyDescent="0.3">
      <c r="F25" s="6"/>
      <c r="G25" t="s">
        <v>499</v>
      </c>
      <c r="I25" s="6"/>
      <c r="K25" s="82" t="s">
        <v>500</v>
      </c>
    </row>
    <row r="26" spans="6:11" x14ac:dyDescent="0.3">
      <c r="F26" s="6"/>
      <c r="G26" t="s">
        <v>501</v>
      </c>
      <c r="I26" s="6"/>
      <c r="K26" s="6" t="s">
        <v>502</v>
      </c>
    </row>
    <row r="27" spans="6:11" x14ac:dyDescent="0.3">
      <c r="F27" s="6"/>
      <c r="G27" t="s">
        <v>503</v>
      </c>
      <c r="I27" s="6"/>
      <c r="K27" s="82" t="s">
        <v>504</v>
      </c>
    </row>
    <row r="28" spans="6:11" x14ac:dyDescent="0.3">
      <c r="F28" s="6"/>
      <c r="G28" s="75" t="s">
        <v>505</v>
      </c>
      <c r="I28" s="6"/>
      <c r="K28" s="6" t="s">
        <v>506</v>
      </c>
    </row>
    <row r="29" spans="6:11" x14ac:dyDescent="0.3">
      <c r="F29" s="6"/>
      <c r="G29" t="s">
        <v>507</v>
      </c>
      <c r="I29" s="6"/>
      <c r="K29" s="82" t="s">
        <v>508</v>
      </c>
    </row>
    <row r="30" spans="6:11" x14ac:dyDescent="0.3">
      <c r="F30" s="6"/>
      <c r="G30" t="s">
        <v>509</v>
      </c>
      <c r="I30" s="6"/>
      <c r="K30" s="6" t="s">
        <v>510</v>
      </c>
    </row>
    <row r="31" spans="6:11" x14ac:dyDescent="0.3">
      <c r="F31" s="6"/>
      <c r="G31" t="s">
        <v>511</v>
      </c>
      <c r="I31" s="6"/>
      <c r="K31" s="82" t="s">
        <v>512</v>
      </c>
    </row>
    <row r="32" spans="6:11" x14ac:dyDescent="0.3">
      <c r="F32" s="6"/>
      <c r="G32" t="s">
        <v>513</v>
      </c>
      <c r="I32" s="6"/>
      <c r="K32" s="6" t="s">
        <v>514</v>
      </c>
    </row>
    <row r="33" spans="6:11" x14ac:dyDescent="0.3">
      <c r="F33" s="6"/>
      <c r="G33" t="s">
        <v>515</v>
      </c>
      <c r="I33" s="6"/>
      <c r="K33" s="82" t="s">
        <v>516</v>
      </c>
    </row>
    <row r="34" spans="6:11" x14ac:dyDescent="0.3">
      <c r="F34" s="6"/>
      <c r="G34" t="s">
        <v>517</v>
      </c>
      <c r="I34" s="6"/>
      <c r="K34" s="6" t="s">
        <v>518</v>
      </c>
    </row>
    <row r="35" spans="6:11" x14ac:dyDescent="0.3">
      <c r="F35" s="6"/>
      <c r="G35" t="s">
        <v>519</v>
      </c>
      <c r="I35" s="6"/>
      <c r="K35" s="82" t="s">
        <v>520</v>
      </c>
    </row>
    <row r="36" spans="6:11" x14ac:dyDescent="0.3">
      <c r="F36" s="6"/>
      <c r="G36" t="s">
        <v>521</v>
      </c>
      <c r="I36" s="6"/>
      <c r="K36" s="6" t="s">
        <v>522</v>
      </c>
    </row>
    <row r="37" spans="6:11" x14ac:dyDescent="0.3">
      <c r="F37" s="6"/>
      <c r="G37" t="s">
        <v>523</v>
      </c>
      <c r="I37" s="6"/>
      <c r="K37" s="82" t="s">
        <v>524</v>
      </c>
    </row>
    <row r="38" spans="6:11" x14ac:dyDescent="0.3">
      <c r="F38" s="6"/>
      <c r="G38" t="s">
        <v>525</v>
      </c>
      <c r="I38" s="6"/>
      <c r="K38" s="6" t="s">
        <v>526</v>
      </c>
    </row>
    <row r="39" spans="6:11" x14ac:dyDescent="0.3">
      <c r="F39" s="6"/>
      <c r="G39" t="s">
        <v>527</v>
      </c>
      <c r="I39" s="6"/>
      <c r="K39" s="82" t="s">
        <v>528</v>
      </c>
    </row>
    <row r="40" spans="6:11" x14ac:dyDescent="0.3">
      <c r="F40" s="6"/>
      <c r="G40" t="s">
        <v>529</v>
      </c>
      <c r="I40" s="6"/>
      <c r="K40" s="6" t="s">
        <v>530</v>
      </c>
    </row>
    <row r="41" spans="6:11" x14ac:dyDescent="0.3">
      <c r="F41" s="6"/>
      <c r="G41" t="s">
        <v>531</v>
      </c>
      <c r="I41" s="6"/>
      <c r="K41" s="82" t="s">
        <v>532</v>
      </c>
    </row>
    <row r="42" spans="6:11" x14ac:dyDescent="0.3">
      <c r="F42" s="6"/>
      <c r="G42" t="s">
        <v>207</v>
      </c>
      <c r="I42" s="6"/>
      <c r="K42" s="6" t="s">
        <v>533</v>
      </c>
    </row>
    <row r="43" spans="6:11" x14ac:dyDescent="0.3">
      <c r="F43" s="6"/>
      <c r="G43" t="s">
        <v>534</v>
      </c>
      <c r="I43" s="6"/>
      <c r="K43" s="82" t="s">
        <v>535</v>
      </c>
    </row>
    <row r="44" spans="6:11" x14ac:dyDescent="0.3">
      <c r="F44" s="6"/>
      <c r="G44" t="s">
        <v>536</v>
      </c>
      <c r="I44" s="6"/>
      <c r="K44" s="6" t="s">
        <v>537</v>
      </c>
    </row>
    <row r="45" spans="6:11" x14ac:dyDescent="0.3">
      <c r="F45" s="6"/>
      <c r="G45" t="s">
        <v>538</v>
      </c>
      <c r="I45" s="6"/>
      <c r="K45" s="82" t="s">
        <v>539</v>
      </c>
    </row>
    <row r="46" spans="6:11" x14ac:dyDescent="0.3">
      <c r="F46" s="6"/>
      <c r="G46" t="s">
        <v>540</v>
      </c>
      <c r="I46" s="6"/>
      <c r="K46" s="6" t="s">
        <v>541</v>
      </c>
    </row>
    <row r="47" spans="6:11" x14ac:dyDescent="0.3">
      <c r="F47" s="6"/>
      <c r="G47" t="s">
        <v>542</v>
      </c>
      <c r="I47" s="6"/>
      <c r="K47" s="82" t="s">
        <v>543</v>
      </c>
    </row>
    <row r="48" spans="6:11" x14ac:dyDescent="0.3">
      <c r="F48" s="6"/>
      <c r="G48" t="s">
        <v>544</v>
      </c>
      <c r="I48" s="6"/>
      <c r="K48" s="6" t="s">
        <v>545</v>
      </c>
    </row>
    <row r="49" spans="6:11" x14ac:dyDescent="0.3">
      <c r="F49" s="6"/>
      <c r="G49" t="s">
        <v>546</v>
      </c>
      <c r="I49" s="6"/>
      <c r="K49" s="82" t="s">
        <v>547</v>
      </c>
    </row>
    <row r="50" spans="6:11" x14ac:dyDescent="0.3">
      <c r="F50" s="6"/>
      <c r="G50" t="s">
        <v>548</v>
      </c>
      <c r="I50" s="6"/>
      <c r="K50" s="6" t="s">
        <v>549</v>
      </c>
    </row>
    <row r="51" spans="6:11" x14ac:dyDescent="0.3">
      <c r="F51" s="6"/>
      <c r="G51" t="s">
        <v>550</v>
      </c>
      <c r="I51" s="6"/>
      <c r="K51" s="82" t="s">
        <v>551</v>
      </c>
    </row>
    <row r="52" spans="6:11" x14ac:dyDescent="0.3">
      <c r="F52" s="6"/>
      <c r="G52" t="s">
        <v>552</v>
      </c>
      <c r="I52" s="6"/>
      <c r="K52" s="6" t="s">
        <v>553</v>
      </c>
    </row>
    <row r="53" spans="6:11" x14ac:dyDescent="0.3">
      <c r="F53" s="6"/>
      <c r="G53" t="s">
        <v>554</v>
      </c>
      <c r="I53" s="6"/>
      <c r="K53" s="82" t="s">
        <v>555</v>
      </c>
    </row>
    <row r="54" spans="6:11" x14ac:dyDescent="0.3">
      <c r="F54" s="6"/>
      <c r="G54" t="s">
        <v>556</v>
      </c>
      <c r="I54" s="6"/>
      <c r="K54" s="6" t="s">
        <v>557</v>
      </c>
    </row>
    <row r="55" spans="6:11" x14ac:dyDescent="0.3">
      <c r="F55" s="6"/>
      <c r="G55" t="s">
        <v>558</v>
      </c>
      <c r="I55" s="6"/>
      <c r="K55" s="82" t="s">
        <v>559</v>
      </c>
    </row>
    <row r="56" spans="6:11" x14ac:dyDescent="0.3">
      <c r="F56" s="6"/>
      <c r="G56" t="s">
        <v>560</v>
      </c>
      <c r="I56" s="6"/>
      <c r="K56" s="6" t="s">
        <v>561</v>
      </c>
    </row>
    <row r="57" spans="6:11" x14ac:dyDescent="0.3">
      <c r="F57" s="6"/>
      <c r="G57" t="s">
        <v>562</v>
      </c>
      <c r="I57" s="6"/>
      <c r="K57" s="82" t="s">
        <v>563</v>
      </c>
    </row>
    <row r="58" spans="6:11" x14ac:dyDescent="0.3">
      <c r="F58" s="6"/>
      <c r="G58" t="s">
        <v>564</v>
      </c>
      <c r="I58" s="6"/>
      <c r="K58" s="6" t="s">
        <v>565</v>
      </c>
    </row>
    <row r="59" spans="6:11" x14ac:dyDescent="0.3">
      <c r="F59" s="6"/>
      <c r="G59" t="s">
        <v>566</v>
      </c>
      <c r="I59" s="6"/>
      <c r="K59" s="82" t="s">
        <v>567</v>
      </c>
    </row>
    <row r="60" spans="6:11" x14ac:dyDescent="0.3">
      <c r="F60" s="6"/>
      <c r="G60" t="s">
        <v>568</v>
      </c>
      <c r="I60" s="6"/>
      <c r="K60" s="6" t="s">
        <v>569</v>
      </c>
    </row>
    <row r="61" spans="6:11" x14ac:dyDescent="0.3">
      <c r="F61" s="6"/>
      <c r="G61" t="s">
        <v>570</v>
      </c>
      <c r="I61" s="6"/>
      <c r="K61" s="82" t="s">
        <v>571</v>
      </c>
    </row>
    <row r="62" spans="6:11" x14ac:dyDescent="0.3">
      <c r="F62" s="6"/>
      <c r="G62" t="s">
        <v>572</v>
      </c>
      <c r="I62" s="6"/>
      <c r="K62" s="6" t="s">
        <v>573</v>
      </c>
    </row>
    <row r="63" spans="6:11" x14ac:dyDescent="0.3">
      <c r="F63" s="6"/>
      <c r="G63" t="s">
        <v>574</v>
      </c>
      <c r="I63" s="6"/>
      <c r="K63" s="82" t="s">
        <v>575</v>
      </c>
    </row>
    <row r="64" spans="6:11" x14ac:dyDescent="0.3">
      <c r="F64" s="6"/>
      <c r="G64" t="s">
        <v>576</v>
      </c>
      <c r="I64" s="6"/>
      <c r="K64" s="6" t="s">
        <v>577</v>
      </c>
    </row>
    <row r="65" spans="6:11" x14ac:dyDescent="0.3">
      <c r="F65" s="6"/>
      <c r="G65" t="s">
        <v>578</v>
      </c>
      <c r="I65" s="6"/>
      <c r="K65" s="82" t="s">
        <v>579</v>
      </c>
    </row>
    <row r="66" spans="6:11" x14ac:dyDescent="0.3">
      <c r="F66" s="6"/>
      <c r="G66" t="s">
        <v>580</v>
      </c>
      <c r="I66" s="6"/>
      <c r="K66" s="6" t="s">
        <v>581</v>
      </c>
    </row>
    <row r="67" spans="6:11" x14ac:dyDescent="0.3">
      <c r="F67" s="6"/>
      <c r="G67" t="s">
        <v>582</v>
      </c>
      <c r="I67" s="6"/>
      <c r="K67" s="82" t="s">
        <v>583</v>
      </c>
    </row>
    <row r="68" spans="6:11" x14ac:dyDescent="0.3">
      <c r="F68" s="6"/>
      <c r="G68" t="s">
        <v>584</v>
      </c>
      <c r="I68" s="6"/>
      <c r="K68" s="6" t="s">
        <v>585</v>
      </c>
    </row>
    <row r="69" spans="6:11" x14ac:dyDescent="0.3">
      <c r="F69" s="6"/>
      <c r="G69" t="s">
        <v>586</v>
      </c>
      <c r="I69" s="6"/>
      <c r="K69" s="82" t="s">
        <v>587</v>
      </c>
    </row>
    <row r="70" spans="6:11" x14ac:dyDescent="0.3">
      <c r="F70" s="6"/>
      <c r="G70" t="s">
        <v>588</v>
      </c>
      <c r="I70" s="6"/>
      <c r="K70" s="6" t="s">
        <v>589</v>
      </c>
    </row>
    <row r="71" spans="6:11" x14ac:dyDescent="0.3">
      <c r="F71" s="6"/>
      <c r="G71" t="s">
        <v>590</v>
      </c>
      <c r="I71" s="6"/>
      <c r="K71" s="82" t="s">
        <v>591</v>
      </c>
    </row>
    <row r="72" spans="6:11" x14ac:dyDescent="0.3">
      <c r="F72" s="6"/>
      <c r="G72" t="s">
        <v>592</v>
      </c>
      <c r="I72" s="6"/>
      <c r="K72" s="6" t="s">
        <v>593</v>
      </c>
    </row>
    <row r="73" spans="6:11" x14ac:dyDescent="0.3">
      <c r="F73" s="6"/>
      <c r="G73" t="s">
        <v>594</v>
      </c>
      <c r="I73" s="6"/>
      <c r="K73" s="82" t="s">
        <v>595</v>
      </c>
    </row>
    <row r="74" spans="6:11" x14ac:dyDescent="0.3">
      <c r="F74" s="6"/>
      <c r="G74" t="s">
        <v>155</v>
      </c>
      <c r="I74" s="6"/>
      <c r="K74" s="6" t="s">
        <v>596</v>
      </c>
    </row>
    <row r="75" spans="6:11" x14ac:dyDescent="0.3">
      <c r="F75" s="6"/>
      <c r="G75" t="s">
        <v>597</v>
      </c>
      <c r="I75" s="6"/>
      <c r="K75" s="82" t="s">
        <v>598</v>
      </c>
    </row>
    <row r="76" spans="6:11" x14ac:dyDescent="0.3">
      <c r="F76" s="6"/>
      <c r="G76" t="s">
        <v>599</v>
      </c>
      <c r="I76" s="6"/>
      <c r="K76" s="6" t="s">
        <v>600</v>
      </c>
    </row>
    <row r="77" spans="6:11" x14ac:dyDescent="0.3">
      <c r="F77" s="6"/>
      <c r="G77" t="s">
        <v>601</v>
      </c>
      <c r="I77" s="6"/>
      <c r="K77" s="82" t="s">
        <v>602</v>
      </c>
    </row>
    <row r="78" spans="6:11" x14ac:dyDescent="0.3">
      <c r="F78" s="6"/>
      <c r="G78" t="s">
        <v>603</v>
      </c>
      <c r="I78" s="6"/>
      <c r="K78" s="6" t="s">
        <v>604</v>
      </c>
    </row>
    <row r="79" spans="6:11" x14ac:dyDescent="0.3">
      <c r="F79" s="6"/>
      <c r="G79" t="s">
        <v>605</v>
      </c>
      <c r="I79" s="6"/>
      <c r="K79" s="82" t="s">
        <v>606</v>
      </c>
    </row>
    <row r="80" spans="6:11" x14ac:dyDescent="0.3">
      <c r="F80" s="6"/>
      <c r="G80" t="s">
        <v>259</v>
      </c>
      <c r="I80" s="6"/>
      <c r="K80" s="6" t="s">
        <v>607</v>
      </c>
    </row>
    <row r="81" spans="6:11" x14ac:dyDescent="0.3">
      <c r="F81" s="6"/>
      <c r="G81" t="s">
        <v>608</v>
      </c>
      <c r="I81" s="6"/>
      <c r="K81" s="82" t="s">
        <v>609</v>
      </c>
    </row>
    <row r="82" spans="6:11" x14ac:dyDescent="0.3">
      <c r="F82" s="6"/>
      <c r="G82" t="s">
        <v>610</v>
      </c>
      <c r="I82" s="6"/>
      <c r="K82" s="6" t="s">
        <v>611</v>
      </c>
    </row>
    <row r="83" spans="6:11" x14ac:dyDescent="0.3">
      <c r="F83" s="6"/>
      <c r="G83" t="s">
        <v>612</v>
      </c>
      <c r="I83" s="6"/>
      <c r="K83" s="82" t="s">
        <v>613</v>
      </c>
    </row>
    <row r="84" spans="6:11" x14ac:dyDescent="0.3">
      <c r="F84" s="6"/>
      <c r="G84" t="s">
        <v>614</v>
      </c>
      <c r="I84" s="6"/>
      <c r="K84" s="6" t="s">
        <v>615</v>
      </c>
    </row>
    <row r="85" spans="6:11" x14ac:dyDescent="0.3">
      <c r="F85" s="6"/>
      <c r="G85" t="s">
        <v>616</v>
      </c>
      <c r="I85" s="6"/>
      <c r="K85" s="82" t="s">
        <v>617</v>
      </c>
    </row>
    <row r="86" spans="6:11" x14ac:dyDescent="0.3">
      <c r="F86" s="6"/>
      <c r="G86" t="s">
        <v>618</v>
      </c>
      <c r="I86" s="6"/>
      <c r="K86" s="6" t="s">
        <v>619</v>
      </c>
    </row>
    <row r="87" spans="6:11" x14ac:dyDescent="0.3">
      <c r="F87" s="6"/>
      <c r="G87" t="s">
        <v>620</v>
      </c>
      <c r="I87" s="6"/>
      <c r="K87" s="82" t="s">
        <v>621</v>
      </c>
    </row>
    <row r="88" spans="6:11" x14ac:dyDescent="0.3">
      <c r="F88" s="6"/>
      <c r="G88" t="s">
        <v>622</v>
      </c>
      <c r="I88" s="6"/>
      <c r="K88" s="6" t="s">
        <v>623</v>
      </c>
    </row>
    <row r="89" spans="6:11" x14ac:dyDescent="0.3">
      <c r="F89" s="6"/>
      <c r="G89" t="s">
        <v>624</v>
      </c>
      <c r="I89" s="6"/>
      <c r="K89" s="82" t="s">
        <v>625</v>
      </c>
    </row>
    <row r="90" spans="6:11" x14ac:dyDescent="0.3">
      <c r="F90" s="6"/>
      <c r="G90" t="s">
        <v>626</v>
      </c>
      <c r="I90" s="6"/>
      <c r="K90" s="6" t="s">
        <v>627</v>
      </c>
    </row>
    <row r="91" spans="6:11" x14ac:dyDescent="0.3">
      <c r="F91" s="6"/>
      <c r="G91" t="s">
        <v>628</v>
      </c>
      <c r="I91" s="6"/>
      <c r="K91" s="82" t="s">
        <v>629</v>
      </c>
    </row>
    <row r="92" spans="6:11" x14ac:dyDescent="0.3">
      <c r="F92" s="6"/>
      <c r="G92" t="s">
        <v>630</v>
      </c>
      <c r="I92" s="6"/>
      <c r="K92" s="6" t="s">
        <v>631</v>
      </c>
    </row>
    <row r="93" spans="6:11" x14ac:dyDescent="0.3">
      <c r="F93" s="6"/>
      <c r="G93" t="s">
        <v>632</v>
      </c>
      <c r="I93" s="6"/>
      <c r="K93" s="82" t="s">
        <v>633</v>
      </c>
    </row>
    <row r="94" spans="6:11" x14ac:dyDescent="0.3">
      <c r="F94" s="6"/>
      <c r="G94" t="s">
        <v>634</v>
      </c>
      <c r="I94" s="6"/>
      <c r="K94" s="6" t="s">
        <v>635</v>
      </c>
    </row>
    <row r="95" spans="6:11" x14ac:dyDescent="0.3">
      <c r="F95" s="6"/>
      <c r="G95" t="s">
        <v>636</v>
      </c>
      <c r="I95" s="6"/>
      <c r="K95" s="82" t="s">
        <v>637</v>
      </c>
    </row>
    <row r="96" spans="6:11" x14ac:dyDescent="0.3">
      <c r="F96" s="6"/>
      <c r="G96" t="s">
        <v>638</v>
      </c>
      <c r="I96" s="6"/>
      <c r="K96" s="6" t="s">
        <v>639</v>
      </c>
    </row>
    <row r="97" spans="6:11" x14ac:dyDescent="0.3">
      <c r="F97" s="6"/>
      <c r="G97" t="s">
        <v>40</v>
      </c>
      <c r="I97" s="6"/>
      <c r="K97" s="82" t="s">
        <v>640</v>
      </c>
    </row>
    <row r="98" spans="6:11" x14ac:dyDescent="0.3">
      <c r="F98" s="6"/>
      <c r="G98" t="s">
        <v>641</v>
      </c>
      <c r="I98" s="6"/>
      <c r="K98" s="6" t="s">
        <v>642</v>
      </c>
    </row>
    <row r="99" spans="6:11" x14ac:dyDescent="0.3">
      <c r="F99" s="6"/>
      <c r="G99" t="s">
        <v>643</v>
      </c>
      <c r="I99" s="6"/>
      <c r="K99" s="82" t="s">
        <v>644</v>
      </c>
    </row>
    <row r="100" spans="6:11" x14ac:dyDescent="0.3">
      <c r="F100" s="6"/>
      <c r="G100" t="s">
        <v>645</v>
      </c>
      <c r="I100" s="6"/>
      <c r="K100" s="6" t="s">
        <v>646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5991C-B61E-438B-B7A7-939D8971E6CB}">
  <sheetPr codeName="Feuil3"/>
  <dimension ref="B13:X1812"/>
  <sheetViews>
    <sheetView showGridLines="0" topLeftCell="C6" workbookViewId="0">
      <selection activeCell="J214" sqref="J214"/>
    </sheetView>
  </sheetViews>
  <sheetFormatPr baseColWidth="10" defaultRowHeight="14.4" x14ac:dyDescent="0.3"/>
  <cols>
    <col min="16" max="16" width="14.77734375" customWidth="1"/>
    <col min="17" max="17" width="14.33203125" customWidth="1"/>
    <col min="18" max="18" width="13.6640625" customWidth="1"/>
  </cols>
  <sheetData>
    <row r="13" spans="11:11" hidden="1" x14ac:dyDescent="0.3"/>
    <row r="14" spans="11:11" hidden="1" x14ac:dyDescent="0.3"/>
    <row r="15" spans="11:11" hidden="1" x14ac:dyDescent="0.3">
      <c r="K15" t="s">
        <v>422</v>
      </c>
    </row>
    <row r="16" spans="11:11" hidden="1" x14ac:dyDescent="0.3"/>
    <row r="17" spans="17:18" hidden="1" x14ac:dyDescent="0.3">
      <c r="Q17" s="6"/>
      <c r="R17" s="6"/>
    </row>
    <row r="18" spans="17:18" ht="18" hidden="1" x14ac:dyDescent="0.35">
      <c r="Q18" s="64"/>
      <c r="R18" s="6"/>
    </row>
    <row r="19" spans="17:18" ht="15.6" hidden="1" x14ac:dyDescent="0.3">
      <c r="Q19" s="65"/>
      <c r="R19" s="65"/>
    </row>
    <row r="20" spans="17:18" ht="15.6" hidden="1" x14ac:dyDescent="0.3">
      <c r="Q20" s="65"/>
      <c r="R20" s="6"/>
    </row>
    <row r="21" spans="17:18" ht="15.6" hidden="1" x14ac:dyDescent="0.3">
      <c r="Q21" s="65"/>
      <c r="R21" s="6"/>
    </row>
    <row r="22" spans="17:18" ht="15.6" hidden="1" x14ac:dyDescent="0.3">
      <c r="Q22" s="65"/>
      <c r="R22" s="6"/>
    </row>
    <row r="23" spans="17:18" ht="15.6" hidden="1" x14ac:dyDescent="0.3">
      <c r="Q23" s="65"/>
      <c r="R23" s="6"/>
    </row>
    <row r="24" spans="17:18" ht="15.6" hidden="1" x14ac:dyDescent="0.3">
      <c r="Q24" s="65"/>
      <c r="R24" s="6"/>
    </row>
    <row r="25" spans="17:18" ht="15.6" hidden="1" x14ac:dyDescent="0.3">
      <c r="Q25" s="65"/>
      <c r="R25" s="66"/>
    </row>
    <row r="26" spans="17:18" ht="15.6" hidden="1" x14ac:dyDescent="0.3">
      <c r="Q26" s="65"/>
      <c r="R26" s="66"/>
    </row>
    <row r="27" spans="17:18" hidden="1" x14ac:dyDescent="0.3">
      <c r="Q27" s="6"/>
      <c r="R27" s="6"/>
    </row>
    <row r="28" spans="17:18" hidden="1" x14ac:dyDescent="0.3">
      <c r="Q28" s="6"/>
      <c r="R28" s="6"/>
    </row>
    <row r="29" spans="17:18" hidden="1" x14ac:dyDescent="0.3">
      <c r="Q29" s="6"/>
      <c r="R29" s="6"/>
    </row>
    <row r="30" spans="17:18" hidden="1" x14ac:dyDescent="0.3"/>
    <row r="31" spans="17:18" hidden="1" x14ac:dyDescent="0.3"/>
    <row r="32" spans="17:18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spans="10:24" hidden="1" x14ac:dyDescent="0.3"/>
    <row r="210" spans="10:24" hidden="1" x14ac:dyDescent="0.3"/>
    <row r="211" spans="10:24" hidden="1" x14ac:dyDescent="0.3"/>
    <row r="212" spans="10:24" hidden="1" x14ac:dyDescent="0.3"/>
    <row r="220" spans="10:24" ht="18" x14ac:dyDescent="0.35">
      <c r="P220" s="64"/>
      <c r="Q220" s="6"/>
      <c r="R220" s="6"/>
      <c r="S220" s="6"/>
      <c r="T220" s="6"/>
      <c r="U220" s="6"/>
      <c r="V220" s="6"/>
      <c r="W220" s="6"/>
      <c r="X220" s="6"/>
    </row>
    <row r="221" spans="10:24" ht="15.6" x14ac:dyDescent="0.3">
      <c r="P221" s="65"/>
      <c r="Q221" s="67"/>
      <c r="R221" s="67"/>
      <c r="S221" s="65"/>
      <c r="T221" s="6"/>
      <c r="U221" s="6"/>
      <c r="V221" s="6"/>
      <c r="W221" s="6"/>
      <c r="X221" s="6"/>
    </row>
    <row r="222" spans="10:24" ht="15.6" x14ac:dyDescent="0.3">
      <c r="P222" s="68"/>
      <c r="Q222" s="6"/>
      <c r="R222" s="6"/>
      <c r="S222" s="6"/>
      <c r="T222" s="6"/>
      <c r="U222" s="6"/>
      <c r="V222" s="6"/>
      <c r="W222" s="6"/>
      <c r="X222" s="6"/>
    </row>
    <row r="223" spans="10:24" ht="15.6" x14ac:dyDescent="0.3">
      <c r="J223" t="s">
        <v>423</v>
      </c>
      <c r="P223" s="68" t="s">
        <v>428</v>
      </c>
      <c r="Q223" s="6"/>
      <c r="R223" s="6"/>
      <c r="S223" s="6"/>
      <c r="T223" s="6"/>
      <c r="U223" s="6"/>
      <c r="V223" s="6"/>
      <c r="W223" s="6"/>
      <c r="X223" s="6"/>
    </row>
    <row r="224" spans="10:24" ht="15.6" x14ac:dyDescent="0.3">
      <c r="P224" s="68"/>
      <c r="Q224" s="6"/>
      <c r="R224" s="6"/>
      <c r="S224" s="6"/>
      <c r="T224" s="6"/>
      <c r="U224" s="6"/>
      <c r="V224" s="6"/>
      <c r="W224" s="6"/>
      <c r="X224" s="6"/>
    </row>
    <row r="225" spans="10:24" ht="15.6" x14ac:dyDescent="0.3">
      <c r="J225" t="s">
        <v>424</v>
      </c>
      <c r="P225" s="68"/>
      <c r="Q225" s="6"/>
      <c r="R225" s="6"/>
      <c r="S225" s="6"/>
      <c r="T225" s="6"/>
      <c r="U225" s="6"/>
      <c r="V225" s="6"/>
      <c r="W225" s="6"/>
      <c r="X225" s="6"/>
    </row>
    <row r="226" spans="10:24" ht="15.6" x14ac:dyDescent="0.3">
      <c r="P226" s="68"/>
      <c r="Q226" s="6"/>
      <c r="R226" s="6"/>
      <c r="S226" s="6"/>
      <c r="T226" s="6"/>
      <c r="U226" s="6"/>
      <c r="V226" s="6"/>
      <c r="W226" s="6"/>
      <c r="X226" s="6"/>
    </row>
    <row r="227" spans="10:24" x14ac:dyDescent="0.3">
      <c r="J227" t="s">
        <v>425</v>
      </c>
      <c r="P227" s="61"/>
      <c r="Q227" s="6"/>
      <c r="R227" s="6"/>
      <c r="S227" s="6"/>
      <c r="T227" s="6"/>
      <c r="U227" s="6"/>
      <c r="V227" s="6"/>
      <c r="W227" s="6"/>
      <c r="X227" s="6"/>
    </row>
    <row r="229" spans="10:24" x14ac:dyDescent="0.3">
      <c r="J229" t="s">
        <v>426</v>
      </c>
    </row>
    <row r="231" spans="10:24" x14ac:dyDescent="0.3">
      <c r="J231" t="s">
        <v>427</v>
      </c>
      <c r="P231" t="s">
        <v>429</v>
      </c>
    </row>
    <row r="413" hidden="1" x14ac:dyDescent="0.3"/>
    <row r="414" hidden="1" x14ac:dyDescent="0.3"/>
    <row r="415" hidden="1" x14ac:dyDescent="0.3"/>
    <row r="416" hidden="1" x14ac:dyDescent="0.3"/>
    <row r="417" spans="6:19" hidden="1" x14ac:dyDescent="0.3"/>
    <row r="418" spans="6:19" hidden="1" x14ac:dyDescent="0.3"/>
    <row r="419" spans="6:19" hidden="1" x14ac:dyDescent="0.3"/>
    <row r="420" spans="6:19" hidden="1" x14ac:dyDescent="0.3">
      <c r="F420" t="s">
        <v>448</v>
      </c>
      <c r="K420" s="69">
        <v>4</v>
      </c>
      <c r="M420" s="69">
        <v>4</v>
      </c>
      <c r="O420" s="69">
        <v>4</v>
      </c>
      <c r="Q420" s="69">
        <v>4</v>
      </c>
      <c r="S420" t="s">
        <v>454</v>
      </c>
    </row>
    <row r="421" spans="6:19" hidden="1" x14ac:dyDescent="0.3"/>
    <row r="422" spans="6:19" hidden="1" x14ac:dyDescent="0.3">
      <c r="F422" s="73" t="s">
        <v>449</v>
      </c>
      <c r="K422" s="69">
        <v>4</v>
      </c>
      <c r="M422" s="69">
        <v>4</v>
      </c>
      <c r="O422" s="69">
        <v>4</v>
      </c>
      <c r="Q422" s="69">
        <v>4</v>
      </c>
      <c r="S422" t="s">
        <v>454</v>
      </c>
    </row>
    <row r="423" spans="6:19" hidden="1" x14ac:dyDescent="0.3"/>
    <row r="424" spans="6:19" hidden="1" x14ac:dyDescent="0.3">
      <c r="F424" s="73" t="s">
        <v>450</v>
      </c>
    </row>
    <row r="425" spans="6:19" hidden="1" x14ac:dyDescent="0.3"/>
    <row r="426" spans="6:19" hidden="1" x14ac:dyDescent="0.3">
      <c r="F426" t="s">
        <v>451</v>
      </c>
    </row>
    <row r="427" spans="6:19" hidden="1" x14ac:dyDescent="0.3"/>
    <row r="428" spans="6:19" hidden="1" x14ac:dyDescent="0.3">
      <c r="F428" s="73" t="s">
        <v>452</v>
      </c>
      <c r="K428" s="70">
        <v>3</v>
      </c>
      <c r="M428" s="70">
        <v>3</v>
      </c>
      <c r="O428" s="70">
        <v>3</v>
      </c>
      <c r="Q428" s="70">
        <v>3</v>
      </c>
      <c r="S428" t="s">
        <v>431</v>
      </c>
    </row>
    <row r="429" spans="6:19" hidden="1" x14ac:dyDescent="0.3"/>
    <row r="430" spans="6:19" hidden="1" x14ac:dyDescent="0.3">
      <c r="F430" t="s">
        <v>453</v>
      </c>
      <c r="K430" s="71">
        <v>1</v>
      </c>
      <c r="M430" s="72">
        <v>2</v>
      </c>
      <c r="O430" s="71">
        <v>1</v>
      </c>
      <c r="Q430" s="72">
        <v>2</v>
      </c>
      <c r="S430" t="s">
        <v>430</v>
      </c>
    </row>
    <row r="431" spans="6:19" hidden="1" x14ac:dyDescent="0.3"/>
    <row r="432" spans="6:19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spans="2:5" hidden="1" x14ac:dyDescent="0.3"/>
    <row r="610" spans="2:5" hidden="1" x14ac:dyDescent="0.3"/>
    <row r="611" spans="2:5" hidden="1" x14ac:dyDescent="0.3"/>
    <row r="612" spans="2:5" hidden="1" x14ac:dyDescent="0.3"/>
    <row r="613" spans="2:5" hidden="1" x14ac:dyDescent="0.3"/>
    <row r="614" spans="2:5" hidden="1" x14ac:dyDescent="0.3"/>
    <row r="615" spans="2:5" hidden="1" x14ac:dyDescent="0.3"/>
    <row r="616" spans="2:5" hidden="1" x14ac:dyDescent="0.3"/>
    <row r="617" spans="2:5" hidden="1" x14ac:dyDescent="0.3"/>
    <row r="618" spans="2:5" hidden="1" x14ac:dyDescent="0.3"/>
    <row r="619" spans="2:5" hidden="1" x14ac:dyDescent="0.3">
      <c r="B619" s="89" t="s">
        <v>432</v>
      </c>
      <c r="C619" s="89"/>
      <c r="E619" t="s">
        <v>447</v>
      </c>
    </row>
    <row r="620" spans="2:5" hidden="1" x14ac:dyDescent="0.3"/>
    <row r="621" spans="2:5" hidden="1" x14ac:dyDescent="0.3">
      <c r="B621" s="90" t="s">
        <v>433</v>
      </c>
      <c r="C621" s="90"/>
      <c r="E621" t="s">
        <v>434</v>
      </c>
    </row>
    <row r="622" spans="2:5" hidden="1" x14ac:dyDescent="0.3"/>
    <row r="623" spans="2:5" hidden="1" x14ac:dyDescent="0.3">
      <c r="B623" s="87" t="s">
        <v>435</v>
      </c>
      <c r="C623" s="87"/>
      <c r="E623" t="s">
        <v>436</v>
      </c>
    </row>
    <row r="624" spans="2:5" hidden="1" x14ac:dyDescent="0.3"/>
    <row r="625" spans="2:5" hidden="1" x14ac:dyDescent="0.3">
      <c r="B625" s="86" t="s">
        <v>437</v>
      </c>
      <c r="C625" s="86"/>
      <c r="E625" t="s">
        <v>438</v>
      </c>
    </row>
    <row r="626" spans="2:5" hidden="1" x14ac:dyDescent="0.3"/>
    <row r="627" spans="2:5" hidden="1" x14ac:dyDescent="0.3"/>
    <row r="628" spans="2:5" hidden="1" x14ac:dyDescent="0.3"/>
    <row r="629" spans="2:5" hidden="1" x14ac:dyDescent="0.3"/>
    <row r="630" spans="2:5" hidden="1" x14ac:dyDescent="0.3"/>
    <row r="631" spans="2:5" hidden="1" x14ac:dyDescent="0.3"/>
    <row r="632" spans="2:5" hidden="1" x14ac:dyDescent="0.3"/>
    <row r="633" spans="2:5" hidden="1" x14ac:dyDescent="0.3"/>
    <row r="634" spans="2:5" hidden="1" x14ac:dyDescent="0.3"/>
    <row r="635" spans="2:5" hidden="1" x14ac:dyDescent="0.3">
      <c r="B635" s="89" t="s">
        <v>432</v>
      </c>
      <c r="C635" s="89"/>
      <c r="E635" t="s">
        <v>439</v>
      </c>
    </row>
    <row r="636" spans="2:5" hidden="1" x14ac:dyDescent="0.3"/>
    <row r="637" spans="2:5" hidden="1" x14ac:dyDescent="0.3">
      <c r="B637" s="90" t="s">
        <v>433</v>
      </c>
      <c r="C637" s="90"/>
      <c r="E637" t="s">
        <v>440</v>
      </c>
    </row>
    <row r="638" spans="2:5" hidden="1" x14ac:dyDescent="0.3"/>
    <row r="639" spans="2:5" hidden="1" x14ac:dyDescent="0.3">
      <c r="B639" s="87" t="s">
        <v>435</v>
      </c>
      <c r="C639" s="87"/>
      <c r="E639" t="s">
        <v>441</v>
      </c>
    </row>
    <row r="640" spans="2:5" hidden="1" x14ac:dyDescent="0.3">
      <c r="B640" s="88"/>
      <c r="C640" s="88"/>
    </row>
    <row r="641" spans="2:5" hidden="1" x14ac:dyDescent="0.3">
      <c r="B641" s="86" t="s">
        <v>437</v>
      </c>
      <c r="C641" s="86"/>
      <c r="E641" t="s">
        <v>442</v>
      </c>
    </row>
    <row r="642" spans="2:5" hidden="1" x14ac:dyDescent="0.3"/>
    <row r="643" spans="2:5" hidden="1" x14ac:dyDescent="0.3"/>
    <row r="644" spans="2:5" hidden="1" x14ac:dyDescent="0.3"/>
    <row r="645" spans="2:5" hidden="1" x14ac:dyDescent="0.3"/>
    <row r="646" spans="2:5" hidden="1" x14ac:dyDescent="0.3"/>
    <row r="647" spans="2:5" hidden="1" x14ac:dyDescent="0.3"/>
    <row r="648" spans="2:5" hidden="1" x14ac:dyDescent="0.3"/>
    <row r="649" spans="2:5" hidden="1" x14ac:dyDescent="0.3"/>
    <row r="650" spans="2:5" hidden="1" x14ac:dyDescent="0.3"/>
    <row r="651" spans="2:5" hidden="1" x14ac:dyDescent="0.3">
      <c r="B651" s="89" t="s">
        <v>432</v>
      </c>
      <c r="C651" s="89"/>
      <c r="E651" t="s">
        <v>443</v>
      </c>
    </row>
    <row r="652" spans="2:5" hidden="1" x14ac:dyDescent="0.3"/>
    <row r="653" spans="2:5" hidden="1" x14ac:dyDescent="0.3">
      <c r="B653" s="90" t="s">
        <v>433</v>
      </c>
      <c r="C653" s="90"/>
      <c r="E653" t="s">
        <v>444</v>
      </c>
    </row>
    <row r="654" spans="2:5" hidden="1" x14ac:dyDescent="0.3"/>
    <row r="655" spans="2:5" hidden="1" x14ac:dyDescent="0.3">
      <c r="B655" s="87" t="s">
        <v>435</v>
      </c>
      <c r="C655" s="87"/>
      <c r="E655" t="s">
        <v>445</v>
      </c>
    </row>
    <row r="656" spans="2:5" hidden="1" x14ac:dyDescent="0.3"/>
    <row r="657" spans="2:5" hidden="1" x14ac:dyDescent="0.3">
      <c r="B657" s="86" t="s">
        <v>437</v>
      </c>
      <c r="C657" s="86"/>
      <c r="E657" t="s">
        <v>446</v>
      </c>
    </row>
    <row r="658" spans="2:5" hidden="1" x14ac:dyDescent="0.3"/>
    <row r="659" spans="2:5" hidden="1" x14ac:dyDescent="0.3"/>
    <row r="660" spans="2:5" hidden="1" x14ac:dyDescent="0.3"/>
    <row r="661" spans="2:5" hidden="1" x14ac:dyDescent="0.3"/>
    <row r="662" spans="2:5" hidden="1" x14ac:dyDescent="0.3"/>
    <row r="663" spans="2:5" hidden="1" x14ac:dyDescent="0.3"/>
    <row r="664" spans="2:5" hidden="1" x14ac:dyDescent="0.3"/>
    <row r="665" spans="2:5" hidden="1" x14ac:dyDescent="0.3"/>
    <row r="666" spans="2:5" hidden="1" x14ac:dyDescent="0.3"/>
    <row r="667" spans="2:5" hidden="1" x14ac:dyDescent="0.3"/>
    <row r="668" spans="2:5" hidden="1" x14ac:dyDescent="0.3"/>
    <row r="669" spans="2:5" hidden="1" x14ac:dyDescent="0.3"/>
    <row r="670" spans="2:5" hidden="1" x14ac:dyDescent="0.3"/>
    <row r="671" spans="2:5" hidden="1" x14ac:dyDescent="0.3"/>
    <row r="672" spans="2:5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</sheetData>
  <mergeCells count="13">
    <mergeCell ref="B637:C637"/>
    <mergeCell ref="B619:C619"/>
    <mergeCell ref="B621:C621"/>
    <mergeCell ref="B623:C623"/>
    <mergeCell ref="B625:C625"/>
    <mergeCell ref="B635:C635"/>
    <mergeCell ref="B657:C657"/>
    <mergeCell ref="B639:C639"/>
    <mergeCell ref="B640:C640"/>
    <mergeCell ref="B641:C641"/>
    <mergeCell ref="B651:C651"/>
    <mergeCell ref="B653:C653"/>
    <mergeCell ref="B655:C65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33622-A19B-4E05-B813-6957BC2FEF04}">
  <sheetPr codeName="Feuil1"/>
  <dimension ref="C13:Y1812"/>
  <sheetViews>
    <sheetView workbookViewId="0">
      <selection activeCell="F223" sqref="F223"/>
    </sheetView>
  </sheetViews>
  <sheetFormatPr baseColWidth="10" defaultRowHeight="14.4" x14ac:dyDescent="0.3"/>
  <sheetData>
    <row r="13" hidden="1" x14ac:dyDescent="0.3"/>
    <row r="14" hidden="1" x14ac:dyDescent="0.3"/>
    <row r="15" hidden="1" x14ac:dyDescent="0.3"/>
    <row r="16" hidden="1" x14ac:dyDescent="0.3"/>
    <row r="17" spans="3:25" hidden="1" x14ac:dyDescent="0.3"/>
    <row r="18" spans="3:25" hidden="1" x14ac:dyDescent="0.3">
      <c r="Y18" t="s">
        <v>465</v>
      </c>
    </row>
    <row r="19" spans="3:25" hidden="1" x14ac:dyDescent="0.3">
      <c r="C19">
        <v>2</v>
      </c>
      <c r="E19" t="s">
        <v>466</v>
      </c>
      <c r="J19" t="s">
        <v>29</v>
      </c>
      <c r="N19">
        <v>3</v>
      </c>
      <c r="Q19">
        <v>2</v>
      </c>
      <c r="T19">
        <v>1</v>
      </c>
      <c r="W19">
        <v>3</v>
      </c>
    </row>
    <row r="20" spans="3:25" hidden="1" x14ac:dyDescent="0.3"/>
    <row r="21" spans="3:25" hidden="1" x14ac:dyDescent="0.3"/>
    <row r="22" spans="3:25" hidden="1" x14ac:dyDescent="0.3"/>
    <row r="23" spans="3:25" hidden="1" x14ac:dyDescent="0.3"/>
    <row r="24" spans="3:25" hidden="1" x14ac:dyDescent="0.3"/>
    <row r="25" spans="3:25" hidden="1" x14ac:dyDescent="0.3"/>
    <row r="26" spans="3:25" hidden="1" x14ac:dyDescent="0.3"/>
    <row r="27" spans="3:25" hidden="1" x14ac:dyDescent="0.3"/>
    <row r="28" spans="3:25" hidden="1" x14ac:dyDescent="0.3"/>
    <row r="29" spans="3:25" hidden="1" x14ac:dyDescent="0.3"/>
    <row r="30" spans="3:25" hidden="1" x14ac:dyDescent="0.3"/>
    <row r="31" spans="3:25" hidden="1" x14ac:dyDescent="0.3"/>
    <row r="32" spans="3:25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spans="4:23" hidden="1" x14ac:dyDescent="0.3"/>
    <row r="210" spans="4:23" hidden="1" x14ac:dyDescent="0.3"/>
    <row r="211" spans="4:23" hidden="1" x14ac:dyDescent="0.3"/>
    <row r="212" spans="4:23" hidden="1" x14ac:dyDescent="0.3"/>
    <row r="218" spans="4:23" x14ac:dyDescent="0.3">
      <c r="D218" t="s">
        <v>467</v>
      </c>
      <c r="G218" t="s">
        <v>468</v>
      </c>
      <c r="I218" t="s">
        <v>469</v>
      </c>
      <c r="M218" t="s">
        <v>470</v>
      </c>
      <c r="P218" t="s">
        <v>470</v>
      </c>
      <c r="S218" t="s">
        <v>471</v>
      </c>
      <c r="W218">
        <v>12</v>
      </c>
    </row>
    <row r="413" hidden="1" x14ac:dyDescent="0.3"/>
    <row r="414" hidden="1" x14ac:dyDescent="0.3"/>
    <row r="415" hidden="1" x14ac:dyDescent="0.3"/>
    <row r="416" hidden="1" x14ac:dyDescent="0.3"/>
    <row r="417" spans="3:24" hidden="1" x14ac:dyDescent="0.3">
      <c r="C417">
        <v>2</v>
      </c>
      <c r="E417" t="s">
        <v>473</v>
      </c>
      <c r="H417" t="s">
        <v>472</v>
      </c>
      <c r="K417" t="s">
        <v>472</v>
      </c>
      <c r="M417" t="s">
        <v>472</v>
      </c>
      <c r="P417" t="s">
        <v>472</v>
      </c>
      <c r="U417" s="81" t="s">
        <v>474</v>
      </c>
      <c r="X417" t="s">
        <v>475</v>
      </c>
    </row>
    <row r="418" spans="3:24" hidden="1" x14ac:dyDescent="0.3"/>
    <row r="419" spans="3:24" hidden="1" x14ac:dyDescent="0.3"/>
    <row r="420" spans="3:24" hidden="1" x14ac:dyDescent="0.3"/>
    <row r="421" spans="3:24" hidden="1" x14ac:dyDescent="0.3"/>
    <row r="422" spans="3:24" hidden="1" x14ac:dyDescent="0.3"/>
    <row r="423" spans="3:24" hidden="1" x14ac:dyDescent="0.3"/>
    <row r="424" spans="3:24" hidden="1" x14ac:dyDescent="0.3"/>
    <row r="425" spans="3:24" hidden="1" x14ac:dyDescent="0.3"/>
    <row r="426" spans="3:24" hidden="1" x14ac:dyDescent="0.3"/>
    <row r="427" spans="3:24" hidden="1" x14ac:dyDescent="0.3"/>
    <row r="428" spans="3:24" hidden="1" x14ac:dyDescent="0.3"/>
    <row r="429" spans="3:24" hidden="1" x14ac:dyDescent="0.3"/>
    <row r="430" spans="3:24" hidden="1" x14ac:dyDescent="0.3"/>
    <row r="431" spans="3:24" hidden="1" x14ac:dyDescent="0.3"/>
    <row r="432" spans="3:24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spans="3:14" hidden="1" x14ac:dyDescent="0.3"/>
    <row r="610" spans="3:14" hidden="1" x14ac:dyDescent="0.3"/>
    <row r="611" spans="3:14" hidden="1" x14ac:dyDescent="0.3"/>
    <row r="612" spans="3:14" hidden="1" x14ac:dyDescent="0.3"/>
    <row r="613" spans="3:14" hidden="1" x14ac:dyDescent="0.3"/>
    <row r="614" spans="3:14" hidden="1" x14ac:dyDescent="0.3"/>
    <row r="615" spans="3:14" hidden="1" x14ac:dyDescent="0.3"/>
    <row r="616" spans="3:14" hidden="1" x14ac:dyDescent="0.3"/>
    <row r="617" spans="3:14" hidden="1" x14ac:dyDescent="0.3"/>
    <row r="618" spans="3:14" hidden="1" x14ac:dyDescent="0.3">
      <c r="C618">
        <v>2</v>
      </c>
      <c r="E618" t="s">
        <v>476</v>
      </c>
      <c r="H618" t="s">
        <v>26</v>
      </c>
      <c r="K618" s="81" t="s">
        <v>474</v>
      </c>
      <c r="N618" t="s">
        <v>475</v>
      </c>
    </row>
    <row r="619" spans="3:14" hidden="1" x14ac:dyDescent="0.3"/>
    <row r="620" spans="3:14" hidden="1" x14ac:dyDescent="0.3"/>
    <row r="621" spans="3:14" hidden="1" x14ac:dyDescent="0.3"/>
    <row r="622" spans="3:14" hidden="1" x14ac:dyDescent="0.3"/>
    <row r="623" spans="3:14" hidden="1" x14ac:dyDescent="0.3"/>
    <row r="624" spans="3:1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spans="4:22" hidden="1" x14ac:dyDescent="0.3"/>
    <row r="818" spans="4:22" hidden="1" x14ac:dyDescent="0.3"/>
    <row r="819" spans="4:22" hidden="1" x14ac:dyDescent="0.3">
      <c r="D819" t="s">
        <v>478</v>
      </c>
      <c r="G819" t="s">
        <v>25</v>
      </c>
      <c r="J819" t="s">
        <v>477</v>
      </c>
      <c r="L819" t="s">
        <v>476</v>
      </c>
      <c r="O819" t="s">
        <v>21</v>
      </c>
      <c r="R819" s="81" t="s">
        <v>474</v>
      </c>
      <c r="V819" t="s">
        <v>475</v>
      </c>
    </row>
    <row r="820" spans="4:22" hidden="1" x14ac:dyDescent="0.3"/>
    <row r="821" spans="4:22" hidden="1" x14ac:dyDescent="0.3"/>
    <row r="822" spans="4:22" hidden="1" x14ac:dyDescent="0.3"/>
    <row r="823" spans="4:22" hidden="1" x14ac:dyDescent="0.3"/>
    <row r="824" spans="4:22" hidden="1" x14ac:dyDescent="0.3"/>
    <row r="825" spans="4:22" hidden="1" x14ac:dyDescent="0.3"/>
    <row r="826" spans="4:22" hidden="1" x14ac:dyDescent="0.3"/>
    <row r="827" spans="4:22" hidden="1" x14ac:dyDescent="0.3"/>
    <row r="828" spans="4:22" hidden="1" x14ac:dyDescent="0.3"/>
    <row r="829" spans="4:22" hidden="1" x14ac:dyDescent="0.3"/>
    <row r="830" spans="4:22" hidden="1" x14ac:dyDescent="0.3"/>
    <row r="831" spans="4:22" hidden="1" x14ac:dyDescent="0.3"/>
    <row r="832" spans="4:2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3D531-4827-40A4-81F1-CA408131AF99}">
  <sheetPr codeName="Feuil5"/>
  <dimension ref="G19:W1812"/>
  <sheetViews>
    <sheetView topLeftCell="A2" zoomScale="95" workbookViewId="0">
      <selection activeCell="I27" sqref="I27"/>
    </sheetView>
  </sheetViews>
  <sheetFormatPr baseColWidth="10" defaultRowHeight="14.4" x14ac:dyDescent="0.3"/>
  <cols>
    <col min="23" max="23" width="11.5546875" customWidth="1"/>
  </cols>
  <sheetData>
    <row r="19" spans="7:7" x14ac:dyDescent="0.3">
      <c r="G19" t="s">
        <v>455</v>
      </c>
    </row>
    <row r="21" spans="7:7" x14ac:dyDescent="0.3">
      <c r="G21" t="s">
        <v>456</v>
      </c>
    </row>
    <row r="23" spans="7:7" x14ac:dyDescent="0.3">
      <c r="G23" t="s">
        <v>457</v>
      </c>
    </row>
    <row r="25" spans="7:7" x14ac:dyDescent="0.3">
      <c r="G25" t="s">
        <v>458</v>
      </c>
    </row>
    <row r="213" spans="9:9" hidden="1" x14ac:dyDescent="0.3"/>
    <row r="214" spans="9:9" hidden="1" x14ac:dyDescent="0.3"/>
    <row r="215" spans="9:9" hidden="1" x14ac:dyDescent="0.3"/>
    <row r="216" spans="9:9" hidden="1" x14ac:dyDescent="0.3"/>
    <row r="217" spans="9:9" hidden="1" x14ac:dyDescent="0.3">
      <c r="I217" s="76" t="s">
        <v>462</v>
      </c>
    </row>
    <row r="218" spans="9:9" hidden="1" x14ac:dyDescent="0.3"/>
    <row r="219" spans="9:9" hidden="1" x14ac:dyDescent="0.3">
      <c r="I219" s="77" t="s">
        <v>16</v>
      </c>
    </row>
    <row r="220" spans="9:9" hidden="1" x14ac:dyDescent="0.3"/>
    <row r="221" spans="9:9" hidden="1" x14ac:dyDescent="0.3">
      <c r="I221" s="77" t="s">
        <v>16</v>
      </c>
    </row>
    <row r="222" spans="9:9" hidden="1" x14ac:dyDescent="0.3"/>
    <row r="223" spans="9:9" hidden="1" x14ac:dyDescent="0.3">
      <c r="I223" s="77" t="s">
        <v>16</v>
      </c>
    </row>
    <row r="224" spans="9:9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spans="7:23" hidden="1" x14ac:dyDescent="0.3"/>
    <row r="1010" spans="7:23" hidden="1" x14ac:dyDescent="0.3"/>
    <row r="1011" spans="7:23" hidden="1" x14ac:dyDescent="0.3"/>
    <row r="1012" spans="7:23" hidden="1" x14ac:dyDescent="0.3"/>
    <row r="1013" spans="7:23" hidden="1" x14ac:dyDescent="0.3"/>
    <row r="1014" spans="7:23" hidden="1" x14ac:dyDescent="0.3"/>
    <row r="1015" spans="7:23" hidden="1" x14ac:dyDescent="0.3"/>
    <row r="1016" spans="7:23" hidden="1" x14ac:dyDescent="0.3"/>
    <row r="1017" spans="7:23" hidden="1" x14ac:dyDescent="0.3"/>
    <row r="1018" spans="7:23" hidden="1" x14ac:dyDescent="0.3">
      <c r="L1018" s="79"/>
      <c r="O1018" s="79"/>
      <c r="U1018" s="80"/>
    </row>
    <row r="1019" spans="7:23" hidden="1" x14ac:dyDescent="0.3"/>
    <row r="1020" spans="7:23" hidden="1" x14ac:dyDescent="0.3">
      <c r="W1020">
        <v>1</v>
      </c>
    </row>
    <row r="1021" spans="7:23" hidden="1" x14ac:dyDescent="0.3"/>
    <row r="1022" spans="7:23" hidden="1" x14ac:dyDescent="0.3">
      <c r="W1022">
        <v>1</v>
      </c>
    </row>
    <row r="1023" spans="7:23" hidden="1" x14ac:dyDescent="0.3"/>
    <row r="1024" spans="7:23" hidden="1" x14ac:dyDescent="0.3">
      <c r="G1024" t="s">
        <v>463</v>
      </c>
      <c r="L1024" s="79">
        <v>45994</v>
      </c>
      <c r="O1024" s="79">
        <v>46006</v>
      </c>
      <c r="R1024">
        <v>12</v>
      </c>
      <c r="U1024" s="78" t="s">
        <v>464</v>
      </c>
      <c r="W1024">
        <v>34</v>
      </c>
    </row>
    <row r="1025" spans="23:23" hidden="1" x14ac:dyDescent="0.3"/>
    <row r="1026" spans="23:23" hidden="1" x14ac:dyDescent="0.3">
      <c r="W1026">
        <v>1</v>
      </c>
    </row>
    <row r="1027" spans="23:23" hidden="1" x14ac:dyDescent="0.3"/>
    <row r="1028" spans="23:23" hidden="1" x14ac:dyDescent="0.3">
      <c r="W1028">
        <v>1</v>
      </c>
    </row>
    <row r="1029" spans="23:23" hidden="1" x14ac:dyDescent="0.3"/>
    <row r="1030" spans="23:23" hidden="1" x14ac:dyDescent="0.3">
      <c r="W1030">
        <v>38</v>
      </c>
    </row>
    <row r="1031" spans="23:23" hidden="1" x14ac:dyDescent="0.3"/>
    <row r="1032" spans="23:23" hidden="1" x14ac:dyDescent="0.3"/>
    <row r="1033" spans="23:23" hidden="1" x14ac:dyDescent="0.3"/>
    <row r="1034" spans="23:23" hidden="1" x14ac:dyDescent="0.3"/>
    <row r="1035" spans="23:23" hidden="1" x14ac:dyDescent="0.3"/>
    <row r="1036" spans="23:23" hidden="1" x14ac:dyDescent="0.3"/>
    <row r="1037" spans="23:23" hidden="1" x14ac:dyDescent="0.3"/>
    <row r="1038" spans="23:23" hidden="1" x14ac:dyDescent="0.3"/>
    <row r="1039" spans="23:23" hidden="1" x14ac:dyDescent="0.3"/>
    <row r="1040" spans="23:23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124C-2A34-4371-B91F-7A52F5C8224E}">
  <sheetPr codeName="Feuil2"/>
  <dimension ref="A1:BB2856"/>
  <sheetViews>
    <sheetView topLeftCell="H1218" zoomScale="95" zoomScaleNormal="80" workbookViewId="0">
      <selection activeCell="J1263" sqref="J1263"/>
    </sheetView>
  </sheetViews>
  <sheetFormatPr baseColWidth="10" defaultRowHeight="14.4" x14ac:dyDescent="0.3"/>
  <cols>
    <col min="3" max="3" width="13.33203125" customWidth="1"/>
    <col min="4" max="4" width="13.88671875" customWidth="1"/>
  </cols>
  <sheetData>
    <row r="1" ht="19.95" customHeight="1" x14ac:dyDescent="0.3"/>
    <row r="2" ht="19.95" customHeight="1" x14ac:dyDescent="0.3"/>
    <row r="3" ht="19.95" customHeight="1" x14ac:dyDescent="0.3"/>
    <row r="4" ht="19.95" customHeight="1" x14ac:dyDescent="0.3"/>
    <row r="5" ht="19.95" customHeight="1" x14ac:dyDescent="0.3"/>
    <row r="6" ht="19.95" customHeight="1" x14ac:dyDescent="0.3"/>
    <row r="7" ht="19.95" customHeight="1" x14ac:dyDescent="0.3"/>
    <row r="8" ht="19.95" customHeight="1" x14ac:dyDescent="0.3"/>
    <row r="9" ht="19.95" customHeight="1" x14ac:dyDescent="0.3"/>
    <row r="10" ht="19.95" customHeight="1" x14ac:dyDescent="0.3"/>
    <row r="11" ht="19.95" customHeight="1" x14ac:dyDescent="0.3"/>
    <row r="12" ht="19.95" customHeight="1" x14ac:dyDescent="0.3"/>
    <row r="13" hidden="1" x14ac:dyDescent="0.3"/>
    <row r="14" hidden="1" x14ac:dyDescent="0.3"/>
    <row r="15" hidden="1" x14ac:dyDescent="0.3"/>
    <row r="16" hidden="1" x14ac:dyDescent="0.3"/>
    <row r="17" spans="3:8" hidden="1" x14ac:dyDescent="0.3"/>
    <row r="18" spans="3:8" hidden="1" x14ac:dyDescent="0.3">
      <c r="C18" t="s">
        <v>4</v>
      </c>
      <c r="H18" t="s">
        <v>5</v>
      </c>
    </row>
    <row r="19" spans="3:8" hidden="1" x14ac:dyDescent="0.3"/>
    <row r="20" spans="3:8" hidden="1" x14ac:dyDescent="0.3"/>
    <row r="21" spans="3:8" hidden="1" x14ac:dyDescent="0.3"/>
    <row r="22" spans="3:8" hidden="1" x14ac:dyDescent="0.3"/>
    <row r="23" spans="3:8" hidden="1" x14ac:dyDescent="0.3"/>
    <row r="24" spans="3:8" hidden="1" x14ac:dyDescent="0.3"/>
    <row r="25" spans="3:8" hidden="1" x14ac:dyDescent="0.3"/>
    <row r="26" spans="3:8" hidden="1" x14ac:dyDescent="0.3"/>
    <row r="27" spans="3:8" hidden="1" x14ac:dyDescent="0.3"/>
    <row r="28" spans="3:8" hidden="1" x14ac:dyDescent="0.3"/>
    <row r="29" spans="3:8" hidden="1" x14ac:dyDescent="0.3"/>
    <row r="30" spans="3:8" hidden="1" x14ac:dyDescent="0.3"/>
    <row r="31" spans="3:8" hidden="1" x14ac:dyDescent="0.3"/>
    <row r="32" spans="3:8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spans="3:8" hidden="1" x14ac:dyDescent="0.3"/>
    <row r="210" spans="3:8" hidden="1" x14ac:dyDescent="0.3"/>
    <row r="211" spans="3:8" hidden="1" x14ac:dyDescent="0.3"/>
    <row r="212" spans="3:8" hidden="1" x14ac:dyDescent="0.3"/>
    <row r="213" spans="3:8" hidden="1" x14ac:dyDescent="0.3"/>
    <row r="214" spans="3:8" hidden="1" x14ac:dyDescent="0.3"/>
    <row r="215" spans="3:8" hidden="1" x14ac:dyDescent="0.3"/>
    <row r="216" spans="3:8" hidden="1" x14ac:dyDescent="0.3"/>
    <row r="217" spans="3:8" hidden="1" x14ac:dyDescent="0.3"/>
    <row r="218" spans="3:8" hidden="1" x14ac:dyDescent="0.3">
      <c r="C218" t="s">
        <v>0</v>
      </c>
      <c r="H218" t="s">
        <v>1</v>
      </c>
    </row>
    <row r="219" spans="3:8" hidden="1" x14ac:dyDescent="0.3">
      <c r="C219" t="s">
        <v>2</v>
      </c>
      <c r="H219" t="s">
        <v>3</v>
      </c>
    </row>
    <row r="220" spans="3:8" hidden="1" x14ac:dyDescent="0.3"/>
    <row r="221" spans="3:8" hidden="1" x14ac:dyDescent="0.3"/>
    <row r="222" spans="3:8" hidden="1" x14ac:dyDescent="0.3"/>
    <row r="223" spans="3:8" hidden="1" x14ac:dyDescent="0.3"/>
    <row r="224" spans="3:8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spans="3:12" hidden="1" x14ac:dyDescent="0.3"/>
    <row r="418" spans="3:12" hidden="1" x14ac:dyDescent="0.3">
      <c r="C418" t="s">
        <v>6</v>
      </c>
      <c r="F418" t="s">
        <v>7</v>
      </c>
      <c r="L418" t="s">
        <v>8</v>
      </c>
    </row>
    <row r="419" spans="3:12" hidden="1" x14ac:dyDescent="0.3"/>
    <row r="420" spans="3:12" hidden="1" x14ac:dyDescent="0.3"/>
    <row r="421" spans="3:12" hidden="1" x14ac:dyDescent="0.3"/>
    <row r="422" spans="3:12" hidden="1" x14ac:dyDescent="0.3"/>
    <row r="423" spans="3:12" hidden="1" x14ac:dyDescent="0.3"/>
    <row r="424" spans="3:12" hidden="1" x14ac:dyDescent="0.3"/>
    <row r="425" spans="3:12" hidden="1" x14ac:dyDescent="0.3"/>
    <row r="426" spans="3:12" hidden="1" x14ac:dyDescent="0.3"/>
    <row r="427" spans="3:12" hidden="1" x14ac:dyDescent="0.3"/>
    <row r="428" spans="3:12" hidden="1" x14ac:dyDescent="0.3"/>
    <row r="429" spans="3:12" hidden="1" x14ac:dyDescent="0.3"/>
    <row r="430" spans="3:12" hidden="1" x14ac:dyDescent="0.3"/>
    <row r="431" spans="3:12" hidden="1" x14ac:dyDescent="0.3"/>
    <row r="432" spans="3:1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spans="3:15" hidden="1" x14ac:dyDescent="0.3"/>
    <row r="610" spans="3:15" hidden="1" x14ac:dyDescent="0.3"/>
    <row r="611" spans="3:15" hidden="1" x14ac:dyDescent="0.3"/>
    <row r="612" spans="3:15" hidden="1" x14ac:dyDescent="0.3"/>
    <row r="613" spans="3:15" hidden="1" x14ac:dyDescent="0.3"/>
    <row r="614" spans="3:15" hidden="1" x14ac:dyDescent="0.3"/>
    <row r="615" spans="3:15" hidden="1" x14ac:dyDescent="0.3"/>
    <row r="616" spans="3:15" hidden="1" x14ac:dyDescent="0.3"/>
    <row r="617" spans="3:15" hidden="1" x14ac:dyDescent="0.3"/>
    <row r="618" spans="3:15" hidden="1" x14ac:dyDescent="0.3"/>
    <row r="619" spans="3:15" hidden="1" x14ac:dyDescent="0.3"/>
    <row r="620" spans="3:15" hidden="1" x14ac:dyDescent="0.3"/>
    <row r="621" spans="3:15" hidden="1" x14ac:dyDescent="0.3"/>
    <row r="622" spans="3:15" hidden="1" x14ac:dyDescent="0.3">
      <c r="C622" t="s">
        <v>0</v>
      </c>
      <c r="E622" t="s">
        <v>10</v>
      </c>
      <c r="G622" s="1" t="s">
        <v>9</v>
      </c>
      <c r="I622" t="s">
        <v>11</v>
      </c>
      <c r="K622">
        <v>10</v>
      </c>
      <c r="M622">
        <v>13</v>
      </c>
      <c r="O622" t="s">
        <v>12</v>
      </c>
    </row>
    <row r="623" spans="3:15" hidden="1" x14ac:dyDescent="0.3">
      <c r="C623" t="s">
        <v>14</v>
      </c>
      <c r="E623" t="s">
        <v>15</v>
      </c>
      <c r="G623" s="3" t="s">
        <v>16</v>
      </c>
      <c r="I623" t="s">
        <v>17</v>
      </c>
      <c r="K623" t="s">
        <v>18</v>
      </c>
      <c r="M623" t="s">
        <v>19</v>
      </c>
      <c r="O623" t="s">
        <v>20</v>
      </c>
    </row>
    <row r="624" spans="3:15" hidden="1" x14ac:dyDescent="0.3">
      <c r="C624" t="s">
        <v>22</v>
      </c>
    </row>
    <row r="625" spans="5:15" hidden="1" x14ac:dyDescent="0.3">
      <c r="E625" t="s">
        <v>0</v>
      </c>
      <c r="G625" t="s">
        <v>23</v>
      </c>
      <c r="I625" t="s">
        <v>24</v>
      </c>
      <c r="K625" t="s">
        <v>24</v>
      </c>
      <c r="M625" t="s">
        <v>24</v>
      </c>
      <c r="O625" t="s">
        <v>24</v>
      </c>
    </row>
    <row r="626" spans="5:15" hidden="1" x14ac:dyDescent="0.3">
      <c r="E626" t="s">
        <v>25</v>
      </c>
      <c r="G626" s="2" t="s">
        <v>13</v>
      </c>
      <c r="I626" t="s">
        <v>21</v>
      </c>
      <c r="K626" t="s">
        <v>26</v>
      </c>
      <c r="M626" t="s">
        <v>26</v>
      </c>
      <c r="O626" t="s">
        <v>27</v>
      </c>
    </row>
    <row r="627" spans="5:15" hidden="1" x14ac:dyDescent="0.3"/>
    <row r="628" spans="5:15" hidden="1" x14ac:dyDescent="0.3"/>
    <row r="629" spans="5:15" hidden="1" x14ac:dyDescent="0.3"/>
    <row r="630" spans="5:15" hidden="1" x14ac:dyDescent="0.3"/>
    <row r="631" spans="5:15" hidden="1" x14ac:dyDescent="0.3"/>
    <row r="632" spans="5:15" hidden="1" x14ac:dyDescent="0.3"/>
    <row r="633" spans="5:15" hidden="1" x14ac:dyDescent="0.3"/>
    <row r="634" spans="5:15" hidden="1" x14ac:dyDescent="0.3"/>
    <row r="635" spans="5:15" hidden="1" x14ac:dyDescent="0.3"/>
    <row r="636" spans="5:15" hidden="1" x14ac:dyDescent="0.3"/>
    <row r="637" spans="5:15" hidden="1" x14ac:dyDescent="0.3"/>
    <row r="638" spans="5:15" hidden="1" x14ac:dyDescent="0.3"/>
    <row r="639" spans="5:15" hidden="1" x14ac:dyDescent="0.3"/>
    <row r="640" spans="5:15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spans="26:26" hidden="1" x14ac:dyDescent="0.3"/>
    <row r="786" spans="26:26" hidden="1" x14ac:dyDescent="0.3"/>
    <row r="787" spans="26:26" hidden="1" x14ac:dyDescent="0.3"/>
    <row r="788" spans="26:26" hidden="1" x14ac:dyDescent="0.3"/>
    <row r="789" spans="26:26" hidden="1" x14ac:dyDescent="0.3"/>
    <row r="790" spans="26:26" hidden="1" x14ac:dyDescent="0.3"/>
    <row r="791" spans="26:26" hidden="1" x14ac:dyDescent="0.3"/>
    <row r="792" spans="26:26" hidden="1" x14ac:dyDescent="0.3"/>
    <row r="793" spans="26:26" hidden="1" x14ac:dyDescent="0.3"/>
    <row r="794" spans="26:26" hidden="1" x14ac:dyDescent="0.3"/>
    <row r="795" spans="26:26" hidden="1" x14ac:dyDescent="0.3"/>
    <row r="796" spans="26:26" hidden="1" x14ac:dyDescent="0.3"/>
    <row r="797" spans="26:26" hidden="1" x14ac:dyDescent="0.3"/>
    <row r="798" spans="26:26" hidden="1" x14ac:dyDescent="0.3"/>
    <row r="799" spans="26:26" hidden="1" x14ac:dyDescent="0.3"/>
    <row r="800" spans="26:26" hidden="1" x14ac:dyDescent="0.3">
      <c r="Z800">
        <v>2000</v>
      </c>
    </row>
    <row r="801" spans="26:26" hidden="1" x14ac:dyDescent="0.3">
      <c r="Z801">
        <v>2001</v>
      </c>
    </row>
    <row r="802" spans="26:26" hidden="1" x14ac:dyDescent="0.3">
      <c r="Z802">
        <v>2002</v>
      </c>
    </row>
    <row r="803" spans="26:26" hidden="1" x14ac:dyDescent="0.3">
      <c r="Z803">
        <v>2003</v>
      </c>
    </row>
    <row r="804" spans="26:26" hidden="1" x14ac:dyDescent="0.3">
      <c r="Z804">
        <v>2004</v>
      </c>
    </row>
    <row r="805" spans="26:26" hidden="1" x14ac:dyDescent="0.3">
      <c r="Z805">
        <v>2005</v>
      </c>
    </row>
    <row r="806" spans="26:26" hidden="1" x14ac:dyDescent="0.3">
      <c r="Z806">
        <v>2006</v>
      </c>
    </row>
    <row r="807" spans="26:26" hidden="1" x14ac:dyDescent="0.3">
      <c r="Z807">
        <v>2007</v>
      </c>
    </row>
    <row r="808" spans="26:26" hidden="1" x14ac:dyDescent="0.3">
      <c r="Z808">
        <v>2008</v>
      </c>
    </row>
    <row r="809" spans="26:26" hidden="1" x14ac:dyDescent="0.3">
      <c r="Z809">
        <v>2009</v>
      </c>
    </row>
    <row r="810" spans="26:26" hidden="1" x14ac:dyDescent="0.3">
      <c r="Z810">
        <v>2010</v>
      </c>
    </row>
    <row r="811" spans="26:26" hidden="1" x14ac:dyDescent="0.3">
      <c r="Z811">
        <v>2011</v>
      </c>
    </row>
    <row r="812" spans="26:26" hidden="1" x14ac:dyDescent="0.3">
      <c r="Z812">
        <v>2012</v>
      </c>
    </row>
    <row r="813" spans="26:26" hidden="1" x14ac:dyDescent="0.3"/>
    <row r="814" spans="26:26" hidden="1" x14ac:dyDescent="0.3"/>
    <row r="815" spans="26:26" hidden="1" x14ac:dyDescent="0.3"/>
    <row r="816" spans="26:26" hidden="1" x14ac:dyDescent="0.3"/>
    <row r="817" spans="3:17" hidden="1" x14ac:dyDescent="0.3"/>
    <row r="818" spans="3:17" hidden="1" x14ac:dyDescent="0.3"/>
    <row r="819" spans="3:17" ht="21" hidden="1" customHeight="1" x14ac:dyDescent="0.3">
      <c r="I819">
        <v>2003</v>
      </c>
      <c r="J819">
        <v>2001</v>
      </c>
      <c r="N819">
        <v>2001</v>
      </c>
    </row>
    <row r="820" spans="3:17" hidden="1" x14ac:dyDescent="0.3">
      <c r="P820" s="88"/>
      <c r="Q820" s="88"/>
    </row>
    <row r="821" spans="3:17" hidden="1" x14ac:dyDescent="0.3">
      <c r="C821" t="s">
        <v>29</v>
      </c>
      <c r="I821" s="4">
        <v>0.45</v>
      </c>
      <c r="M821" s="4">
        <v>0.45</v>
      </c>
      <c r="P821" s="4">
        <f>M821-I821</f>
        <v>0</v>
      </c>
    </row>
    <row r="822" spans="3:17" hidden="1" x14ac:dyDescent="0.3"/>
    <row r="823" spans="3:17" hidden="1" x14ac:dyDescent="0.3"/>
    <row r="824" spans="3:17" hidden="1" x14ac:dyDescent="0.3"/>
    <row r="825" spans="3:17" hidden="1" x14ac:dyDescent="0.3"/>
    <row r="826" spans="3:17" hidden="1" x14ac:dyDescent="0.3"/>
    <row r="827" spans="3:17" hidden="1" x14ac:dyDescent="0.3"/>
    <row r="828" spans="3:17" hidden="1" x14ac:dyDescent="0.3"/>
    <row r="829" spans="3:17" hidden="1" x14ac:dyDescent="0.3"/>
    <row r="830" spans="3:17" hidden="1" x14ac:dyDescent="0.3"/>
    <row r="831" spans="3:17" hidden="1" x14ac:dyDescent="0.3"/>
    <row r="832" spans="3:17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spans="1:12" hidden="1" x14ac:dyDescent="0.3"/>
    <row r="1010" spans="1:12" hidden="1" x14ac:dyDescent="0.3"/>
    <row r="1011" spans="1:12" hidden="1" x14ac:dyDescent="0.3"/>
    <row r="1012" spans="1:12" hidden="1" x14ac:dyDescent="0.3"/>
    <row r="1013" spans="1:12" hidden="1" x14ac:dyDescent="0.3"/>
    <row r="1014" spans="1:12" hidden="1" x14ac:dyDescent="0.3"/>
    <row r="1015" spans="1:12" hidden="1" x14ac:dyDescent="0.3"/>
    <row r="1016" spans="1:12" hidden="1" x14ac:dyDescent="0.3">
      <c r="J1016" t="s">
        <v>28</v>
      </c>
    </row>
    <row r="1017" spans="1:12" hidden="1" x14ac:dyDescent="0.3"/>
    <row r="1018" spans="1:12" hidden="1" x14ac:dyDescent="0.3"/>
    <row r="1019" spans="1:12" hidden="1" x14ac:dyDescent="0.3"/>
    <row r="1020" spans="1:12" hidden="1" x14ac:dyDescent="0.3"/>
    <row r="1021" spans="1:12" hidden="1" x14ac:dyDescent="0.3">
      <c r="A1021" t="s">
        <v>252</v>
      </c>
      <c r="L1021" t="s">
        <v>251</v>
      </c>
    </row>
    <row r="1022" spans="1:12" hidden="1" x14ac:dyDescent="0.3">
      <c r="A1022" t="s">
        <v>250</v>
      </c>
    </row>
    <row r="1023" spans="1:12" hidden="1" x14ac:dyDescent="0.3"/>
    <row r="1024" spans="1:12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22" spans="1:29" x14ac:dyDescent="0.3">
      <c r="Q1222" s="6"/>
      <c r="R1222" s="6"/>
    </row>
    <row r="1223" spans="1:29" x14ac:dyDescent="0.3">
      <c r="A1223" s="98" t="s">
        <v>30</v>
      </c>
      <c r="B1223" s="98"/>
      <c r="C1223" s="98"/>
      <c r="E1223" t="s">
        <v>31</v>
      </c>
      <c r="G1223" t="s">
        <v>32</v>
      </c>
      <c r="K1223" s="6"/>
      <c r="N1223" t="s">
        <v>33</v>
      </c>
      <c r="Q1223" s="6"/>
      <c r="R1223" s="6"/>
      <c r="V1223" s="1">
        <v>0</v>
      </c>
      <c r="X1223" t="s">
        <v>43</v>
      </c>
      <c r="AC1223" t="s">
        <v>252</v>
      </c>
    </row>
    <row r="1224" spans="1:29" x14ac:dyDescent="0.3">
      <c r="E1224" t="s">
        <v>34</v>
      </c>
      <c r="G1224" t="s">
        <v>35</v>
      </c>
      <c r="K1224" s="6"/>
      <c r="N1224" t="s">
        <v>33</v>
      </c>
      <c r="Q1224" s="6"/>
      <c r="R1224" s="6"/>
      <c r="V1224" s="1">
        <v>0</v>
      </c>
      <c r="X1224" t="s">
        <v>43</v>
      </c>
    </row>
    <row r="1225" spans="1:29" x14ac:dyDescent="0.3">
      <c r="E1225" t="s">
        <v>45</v>
      </c>
      <c r="G1225" t="s">
        <v>80</v>
      </c>
      <c r="N1225" t="s">
        <v>33</v>
      </c>
      <c r="Q1225" s="6"/>
      <c r="R1225" s="6"/>
      <c r="V1225" s="75">
        <v>3</v>
      </c>
      <c r="X1225" t="s">
        <v>461</v>
      </c>
    </row>
    <row r="1226" spans="1:29" x14ac:dyDescent="0.3">
      <c r="E1226" t="s">
        <v>46</v>
      </c>
      <c r="G1226" t="s">
        <v>81</v>
      </c>
      <c r="N1226" t="s">
        <v>33</v>
      </c>
      <c r="Q1226" s="6"/>
      <c r="R1226" s="6"/>
    </row>
    <row r="1227" spans="1:29" x14ac:dyDescent="0.3">
      <c r="E1227" t="s">
        <v>47</v>
      </c>
      <c r="G1227" t="s">
        <v>82</v>
      </c>
      <c r="N1227" t="s">
        <v>33</v>
      </c>
    </row>
    <row r="1228" spans="1:29" x14ac:dyDescent="0.3">
      <c r="E1228" t="s">
        <v>48</v>
      </c>
      <c r="G1228" t="s">
        <v>83</v>
      </c>
      <c r="N1228" t="s">
        <v>33</v>
      </c>
    </row>
    <row r="1229" spans="1:29" x14ac:dyDescent="0.3">
      <c r="E1229" t="s">
        <v>49</v>
      </c>
      <c r="G1229" t="s">
        <v>84</v>
      </c>
      <c r="N1229" t="s">
        <v>33</v>
      </c>
    </row>
    <row r="1230" spans="1:29" x14ac:dyDescent="0.3">
      <c r="E1230" t="s">
        <v>50</v>
      </c>
      <c r="G1230" t="s">
        <v>85</v>
      </c>
      <c r="N1230" t="s">
        <v>115</v>
      </c>
    </row>
    <row r="1231" spans="1:29" x14ac:dyDescent="0.3">
      <c r="E1231" t="s">
        <v>51</v>
      </c>
      <c r="G1231" t="s">
        <v>86</v>
      </c>
      <c r="N1231" t="s">
        <v>33</v>
      </c>
    </row>
    <row r="1232" spans="1:29" x14ac:dyDescent="0.3">
      <c r="E1232" t="s">
        <v>52</v>
      </c>
      <c r="G1232" t="s">
        <v>87</v>
      </c>
      <c r="N1232" t="s">
        <v>116</v>
      </c>
    </row>
    <row r="1233" spans="5:22" x14ac:dyDescent="0.3">
      <c r="E1233" t="s">
        <v>53</v>
      </c>
      <c r="G1233" t="s">
        <v>88</v>
      </c>
      <c r="N1233" t="s">
        <v>117</v>
      </c>
    </row>
    <row r="1234" spans="5:22" x14ac:dyDescent="0.3">
      <c r="E1234" t="s">
        <v>54</v>
      </c>
      <c r="G1234" t="s">
        <v>89</v>
      </c>
      <c r="N1234" t="s">
        <v>116</v>
      </c>
    </row>
    <row r="1235" spans="5:22" x14ac:dyDescent="0.3">
      <c r="E1235" t="s">
        <v>55</v>
      </c>
      <c r="G1235" t="s">
        <v>90</v>
      </c>
      <c r="N1235" t="s">
        <v>118</v>
      </c>
    </row>
    <row r="1236" spans="5:22" x14ac:dyDescent="0.3">
      <c r="E1236" t="s">
        <v>56</v>
      </c>
      <c r="G1236" t="s">
        <v>91</v>
      </c>
      <c r="N1236" t="s">
        <v>118</v>
      </c>
    </row>
    <row r="1237" spans="5:22" x14ac:dyDescent="0.3">
      <c r="E1237" t="s">
        <v>57</v>
      </c>
      <c r="G1237" t="s">
        <v>92</v>
      </c>
      <c r="N1237" t="s">
        <v>117</v>
      </c>
    </row>
    <row r="1238" spans="5:22" x14ac:dyDescent="0.3">
      <c r="E1238" t="s">
        <v>58</v>
      </c>
      <c r="G1238" t="s">
        <v>93</v>
      </c>
      <c r="N1238" t="s">
        <v>119</v>
      </c>
      <c r="R1238" s="6"/>
      <c r="S1238" s="6"/>
      <c r="T1238" s="6"/>
      <c r="U1238" s="6"/>
      <c r="V1238" s="6"/>
    </row>
    <row r="1239" spans="5:22" x14ac:dyDescent="0.3">
      <c r="E1239" t="s">
        <v>59</v>
      </c>
      <c r="G1239" t="s">
        <v>94</v>
      </c>
      <c r="N1239" t="s">
        <v>119</v>
      </c>
      <c r="R1239" s="6"/>
      <c r="S1239" s="6"/>
      <c r="T1239" s="6"/>
      <c r="U1239" s="6"/>
      <c r="V1239" s="6"/>
    </row>
    <row r="1240" spans="5:22" x14ac:dyDescent="0.3">
      <c r="E1240" t="s">
        <v>60</v>
      </c>
      <c r="G1240" t="s">
        <v>95</v>
      </c>
      <c r="N1240" t="s">
        <v>119</v>
      </c>
      <c r="R1240" s="6"/>
      <c r="S1240" s="6"/>
      <c r="T1240" s="6"/>
      <c r="U1240" s="6"/>
      <c r="V1240" s="6"/>
    </row>
    <row r="1241" spans="5:22" x14ac:dyDescent="0.3">
      <c r="E1241" t="s">
        <v>61</v>
      </c>
      <c r="G1241" t="s">
        <v>96</v>
      </c>
      <c r="N1241" t="s">
        <v>119</v>
      </c>
      <c r="R1241" s="6"/>
      <c r="S1241" s="6"/>
      <c r="T1241" s="6"/>
      <c r="U1241" s="6"/>
      <c r="V1241" s="6"/>
    </row>
    <row r="1242" spans="5:22" x14ac:dyDescent="0.3">
      <c r="E1242" t="s">
        <v>62</v>
      </c>
      <c r="G1242" t="s">
        <v>97</v>
      </c>
      <c r="N1242" t="s">
        <v>120</v>
      </c>
    </row>
    <row r="1243" spans="5:22" x14ac:dyDescent="0.3">
      <c r="E1243" t="s">
        <v>63</v>
      </c>
      <c r="G1243" t="s">
        <v>98</v>
      </c>
      <c r="N1243" t="s">
        <v>120</v>
      </c>
    </row>
    <row r="1244" spans="5:22" x14ac:dyDescent="0.3">
      <c r="E1244" t="s">
        <v>64</v>
      </c>
      <c r="G1244" t="s">
        <v>99</v>
      </c>
      <c r="N1244" t="s">
        <v>120</v>
      </c>
    </row>
    <row r="1245" spans="5:22" x14ac:dyDescent="0.3">
      <c r="E1245" t="s">
        <v>65</v>
      </c>
      <c r="G1245" t="s">
        <v>100</v>
      </c>
      <c r="N1245" t="s">
        <v>120</v>
      </c>
    </row>
    <row r="1246" spans="5:22" x14ac:dyDescent="0.3">
      <c r="E1246" t="s">
        <v>66</v>
      </c>
      <c r="G1246" t="s">
        <v>101</v>
      </c>
      <c r="N1246" t="s">
        <v>120</v>
      </c>
    </row>
    <row r="1247" spans="5:22" x14ac:dyDescent="0.3">
      <c r="E1247" t="s">
        <v>67</v>
      </c>
      <c r="G1247" t="s">
        <v>102</v>
      </c>
      <c r="N1247" t="s">
        <v>121</v>
      </c>
    </row>
    <row r="1248" spans="5:22" x14ac:dyDescent="0.3">
      <c r="E1248" t="s">
        <v>68</v>
      </c>
      <c r="G1248" t="s">
        <v>103</v>
      </c>
      <c r="N1248" t="s">
        <v>121</v>
      </c>
    </row>
    <row r="1249" spans="1:14" x14ac:dyDescent="0.3">
      <c r="E1249" t="s">
        <v>69</v>
      </c>
      <c r="G1249" t="s">
        <v>104</v>
      </c>
      <c r="N1249" t="s">
        <v>121</v>
      </c>
    </row>
    <row r="1250" spans="1:14" x14ac:dyDescent="0.3">
      <c r="E1250" t="s">
        <v>70</v>
      </c>
      <c r="G1250" t="s">
        <v>105</v>
      </c>
      <c r="N1250" t="s">
        <v>121</v>
      </c>
    </row>
    <row r="1251" spans="1:14" x14ac:dyDescent="0.3">
      <c r="E1251" t="s">
        <v>71</v>
      </c>
      <c r="G1251" t="s">
        <v>106</v>
      </c>
      <c r="N1251" t="s">
        <v>121</v>
      </c>
    </row>
    <row r="1252" spans="1:14" x14ac:dyDescent="0.3">
      <c r="E1252" t="s">
        <v>72</v>
      </c>
      <c r="G1252" t="s">
        <v>107</v>
      </c>
      <c r="N1252" t="s">
        <v>122</v>
      </c>
    </row>
    <row r="1253" spans="1:14" x14ac:dyDescent="0.3">
      <c r="E1253" t="s">
        <v>73</v>
      </c>
      <c r="G1253" t="s">
        <v>108</v>
      </c>
      <c r="N1253" t="s">
        <v>122</v>
      </c>
    </row>
    <row r="1254" spans="1:14" x14ac:dyDescent="0.3">
      <c r="E1254" t="s">
        <v>74</v>
      </c>
      <c r="G1254" t="s">
        <v>109</v>
      </c>
      <c r="N1254" t="s">
        <v>123</v>
      </c>
    </row>
    <row r="1255" spans="1:14" x14ac:dyDescent="0.3">
      <c r="E1255" t="s">
        <v>75</v>
      </c>
      <c r="G1255" t="s">
        <v>110</v>
      </c>
      <c r="N1255" t="s">
        <v>123</v>
      </c>
    </row>
    <row r="1256" spans="1:14" x14ac:dyDescent="0.3">
      <c r="E1256" t="s">
        <v>76</v>
      </c>
      <c r="G1256" t="s">
        <v>111</v>
      </c>
      <c r="N1256" t="s">
        <v>124</v>
      </c>
    </row>
    <row r="1257" spans="1:14" x14ac:dyDescent="0.3">
      <c r="E1257" t="s">
        <v>77</v>
      </c>
      <c r="G1257" t="s">
        <v>112</v>
      </c>
      <c r="N1257" t="s">
        <v>125</v>
      </c>
    </row>
    <row r="1258" spans="1:14" x14ac:dyDescent="0.3">
      <c r="E1258" t="s">
        <v>78</v>
      </c>
      <c r="G1258" t="s">
        <v>113</v>
      </c>
      <c r="N1258" t="s">
        <v>126</v>
      </c>
    </row>
    <row r="1259" spans="1:14" x14ac:dyDescent="0.3">
      <c r="E1259" t="s">
        <v>79</v>
      </c>
      <c r="G1259" t="s">
        <v>114</v>
      </c>
      <c r="N1259" t="s">
        <v>123</v>
      </c>
    </row>
    <row r="1260" spans="1:14" x14ac:dyDescent="0.3">
      <c r="A1260" s="99" t="s">
        <v>127</v>
      </c>
      <c r="B1260" s="99"/>
      <c r="C1260" s="99"/>
      <c r="D1260" s="99"/>
      <c r="E1260" t="s">
        <v>36</v>
      </c>
      <c r="G1260" t="s">
        <v>37</v>
      </c>
      <c r="N1260" t="s">
        <v>38</v>
      </c>
    </row>
    <row r="1261" spans="1:14" x14ac:dyDescent="0.3">
      <c r="E1261" t="s">
        <v>39</v>
      </c>
      <c r="G1261" t="s">
        <v>40</v>
      </c>
      <c r="N1261" t="s">
        <v>38</v>
      </c>
    </row>
    <row r="1262" spans="1:14" x14ac:dyDescent="0.3">
      <c r="E1262" t="s">
        <v>41</v>
      </c>
      <c r="G1262" t="s">
        <v>42</v>
      </c>
      <c r="N1262" t="s">
        <v>38</v>
      </c>
    </row>
    <row r="1263" spans="1:14" x14ac:dyDescent="0.3">
      <c r="E1263" t="s">
        <v>128</v>
      </c>
      <c r="G1263" t="s">
        <v>133</v>
      </c>
      <c r="N1263" t="s">
        <v>38</v>
      </c>
    </row>
    <row r="1264" spans="1:14" x14ac:dyDescent="0.3">
      <c r="E1264" t="s">
        <v>129</v>
      </c>
      <c r="G1264" t="s">
        <v>134</v>
      </c>
      <c r="N1264" t="s">
        <v>138</v>
      </c>
    </row>
    <row r="1265" spans="1:14" x14ac:dyDescent="0.3">
      <c r="E1265" t="s">
        <v>130</v>
      </c>
      <c r="G1265" t="s">
        <v>135</v>
      </c>
      <c r="N1265" t="s">
        <v>139</v>
      </c>
    </row>
    <row r="1266" spans="1:14" x14ac:dyDescent="0.3">
      <c r="E1266" t="s">
        <v>131</v>
      </c>
      <c r="G1266" t="s">
        <v>136</v>
      </c>
      <c r="N1266" t="s">
        <v>140</v>
      </c>
    </row>
    <row r="1267" spans="1:14" x14ac:dyDescent="0.3">
      <c r="E1267" t="s">
        <v>132</v>
      </c>
      <c r="G1267" t="s">
        <v>137</v>
      </c>
      <c r="N1267" t="s">
        <v>121</v>
      </c>
    </row>
    <row r="1268" spans="1:14" x14ac:dyDescent="0.3">
      <c r="A1268" s="99" t="s">
        <v>141</v>
      </c>
      <c r="B1268" s="99"/>
      <c r="C1268" s="99"/>
      <c r="E1268" t="s">
        <v>44</v>
      </c>
      <c r="G1268" t="s">
        <v>155</v>
      </c>
      <c r="N1268" t="s">
        <v>169</v>
      </c>
    </row>
    <row r="1269" spans="1:14" x14ac:dyDescent="0.3">
      <c r="E1269" t="s">
        <v>142</v>
      </c>
      <c r="G1269" t="s">
        <v>156</v>
      </c>
      <c r="N1269" t="s">
        <v>169</v>
      </c>
    </row>
    <row r="1270" spans="1:14" x14ac:dyDescent="0.3">
      <c r="E1270" t="s">
        <v>143</v>
      </c>
      <c r="G1270" t="s">
        <v>157</v>
      </c>
      <c r="N1270" t="s">
        <v>170</v>
      </c>
    </row>
    <row r="1271" spans="1:14" x14ac:dyDescent="0.3">
      <c r="E1271" t="s">
        <v>144</v>
      </c>
      <c r="G1271" t="s">
        <v>158</v>
      </c>
      <c r="N1271" t="s">
        <v>169</v>
      </c>
    </row>
    <row r="1272" spans="1:14" x14ac:dyDescent="0.3">
      <c r="E1272" t="s">
        <v>145</v>
      </c>
      <c r="G1272" t="s">
        <v>159</v>
      </c>
      <c r="N1272" t="s">
        <v>169</v>
      </c>
    </row>
    <row r="1273" spans="1:14" x14ac:dyDescent="0.3">
      <c r="E1273" t="s">
        <v>146</v>
      </c>
      <c r="G1273" t="s">
        <v>160</v>
      </c>
      <c r="N1273" t="s">
        <v>169</v>
      </c>
    </row>
    <row r="1274" spans="1:14" x14ac:dyDescent="0.3">
      <c r="E1274" t="s">
        <v>147</v>
      </c>
      <c r="G1274" t="s">
        <v>161</v>
      </c>
      <c r="N1274" t="s">
        <v>169</v>
      </c>
    </row>
    <row r="1275" spans="1:14" x14ac:dyDescent="0.3">
      <c r="E1275" t="s">
        <v>148</v>
      </c>
      <c r="G1275" t="s">
        <v>162</v>
      </c>
      <c r="N1275" t="s">
        <v>170</v>
      </c>
    </row>
    <row r="1276" spans="1:14" x14ac:dyDescent="0.3">
      <c r="E1276" t="s">
        <v>149</v>
      </c>
      <c r="G1276" t="s">
        <v>163</v>
      </c>
      <c r="N1276" t="s">
        <v>170</v>
      </c>
    </row>
    <row r="1277" spans="1:14" x14ac:dyDescent="0.3">
      <c r="E1277" t="s">
        <v>150</v>
      </c>
      <c r="G1277" t="s">
        <v>164</v>
      </c>
      <c r="N1277" t="s">
        <v>170</v>
      </c>
    </row>
    <row r="1278" spans="1:14" x14ac:dyDescent="0.3">
      <c r="E1278" t="s">
        <v>151</v>
      </c>
      <c r="G1278" t="s">
        <v>165</v>
      </c>
      <c r="N1278" t="s">
        <v>169</v>
      </c>
    </row>
    <row r="1279" spans="1:14" x14ac:dyDescent="0.3">
      <c r="E1279" t="s">
        <v>152</v>
      </c>
      <c r="G1279" t="s">
        <v>166</v>
      </c>
      <c r="N1279" t="s">
        <v>169</v>
      </c>
    </row>
    <row r="1280" spans="1:14" x14ac:dyDescent="0.3">
      <c r="E1280" t="s">
        <v>153</v>
      </c>
      <c r="G1280" t="s">
        <v>167</v>
      </c>
      <c r="N1280" t="s">
        <v>170</v>
      </c>
    </row>
    <row r="1281" spans="1:14" x14ac:dyDescent="0.3">
      <c r="E1281" t="s">
        <v>154</v>
      </c>
      <c r="G1281" t="s">
        <v>168</v>
      </c>
      <c r="N1281" t="s">
        <v>170</v>
      </c>
    </row>
    <row r="1282" spans="1:14" x14ac:dyDescent="0.3">
      <c r="A1282" s="98" t="s">
        <v>171</v>
      </c>
      <c r="B1282" s="98"/>
      <c r="C1282" s="98"/>
      <c r="E1282" t="s">
        <v>172</v>
      </c>
      <c r="G1282" t="s">
        <v>206</v>
      </c>
      <c r="N1282" t="s">
        <v>240</v>
      </c>
    </row>
    <row r="1283" spans="1:14" x14ac:dyDescent="0.3">
      <c r="E1283" t="s">
        <v>173</v>
      </c>
      <c r="G1283" t="s">
        <v>207</v>
      </c>
      <c r="N1283" t="s">
        <v>119</v>
      </c>
    </row>
    <row r="1284" spans="1:14" x14ac:dyDescent="0.3">
      <c r="E1284" t="s">
        <v>174</v>
      </c>
      <c r="G1284" t="s">
        <v>208</v>
      </c>
      <c r="N1284" t="s">
        <v>119</v>
      </c>
    </row>
    <row r="1285" spans="1:14" x14ac:dyDescent="0.3">
      <c r="E1285" t="s">
        <v>175</v>
      </c>
      <c r="G1285" t="s">
        <v>209</v>
      </c>
      <c r="N1285" t="s">
        <v>241</v>
      </c>
    </row>
    <row r="1286" spans="1:14" x14ac:dyDescent="0.3">
      <c r="E1286" t="s">
        <v>176</v>
      </c>
      <c r="G1286" t="s">
        <v>210</v>
      </c>
      <c r="N1286" t="s">
        <v>119</v>
      </c>
    </row>
    <row r="1287" spans="1:14" x14ac:dyDescent="0.3">
      <c r="E1287" t="s">
        <v>177</v>
      </c>
      <c r="G1287" t="s">
        <v>211</v>
      </c>
      <c r="N1287" t="s">
        <v>122</v>
      </c>
    </row>
    <row r="1288" spans="1:14" x14ac:dyDescent="0.3">
      <c r="E1288" t="s">
        <v>178</v>
      </c>
      <c r="G1288" t="s">
        <v>212</v>
      </c>
      <c r="N1288" t="s">
        <v>242</v>
      </c>
    </row>
    <row r="1289" spans="1:14" x14ac:dyDescent="0.3">
      <c r="E1289" t="s">
        <v>179</v>
      </c>
      <c r="G1289" t="s">
        <v>213</v>
      </c>
      <c r="N1289" t="s">
        <v>115</v>
      </c>
    </row>
    <row r="1290" spans="1:14" x14ac:dyDescent="0.3">
      <c r="E1290" t="s">
        <v>180</v>
      </c>
      <c r="G1290" t="s">
        <v>214</v>
      </c>
      <c r="N1290" t="s">
        <v>243</v>
      </c>
    </row>
    <row r="1291" spans="1:14" x14ac:dyDescent="0.3">
      <c r="E1291" t="s">
        <v>181</v>
      </c>
      <c r="G1291" t="s">
        <v>215</v>
      </c>
      <c r="N1291" t="s">
        <v>118</v>
      </c>
    </row>
    <row r="1292" spans="1:14" x14ac:dyDescent="0.3">
      <c r="E1292" t="s">
        <v>182</v>
      </c>
      <c r="G1292" t="s">
        <v>216</v>
      </c>
      <c r="N1292" t="s">
        <v>118</v>
      </c>
    </row>
    <row r="1293" spans="1:14" x14ac:dyDescent="0.3">
      <c r="E1293" t="s">
        <v>183</v>
      </c>
      <c r="G1293" t="s">
        <v>217</v>
      </c>
      <c r="N1293" t="s">
        <v>118</v>
      </c>
    </row>
    <row r="1294" spans="1:14" x14ac:dyDescent="0.3">
      <c r="E1294" t="s">
        <v>184</v>
      </c>
      <c r="G1294" t="s">
        <v>218</v>
      </c>
      <c r="N1294" t="s">
        <v>122</v>
      </c>
    </row>
    <row r="1295" spans="1:14" x14ac:dyDescent="0.3">
      <c r="E1295" t="s">
        <v>185</v>
      </c>
      <c r="G1295" t="s">
        <v>219</v>
      </c>
      <c r="N1295" t="s">
        <v>244</v>
      </c>
    </row>
    <row r="1296" spans="1:14" x14ac:dyDescent="0.3">
      <c r="E1296" t="s">
        <v>186</v>
      </c>
      <c r="G1296" t="s">
        <v>220</v>
      </c>
      <c r="N1296" t="s">
        <v>121</v>
      </c>
    </row>
    <row r="1297" spans="5:20" x14ac:dyDescent="0.3">
      <c r="E1297" t="s">
        <v>187</v>
      </c>
      <c r="G1297" t="s">
        <v>221</v>
      </c>
      <c r="N1297" t="s">
        <v>121</v>
      </c>
    </row>
    <row r="1298" spans="5:20" x14ac:dyDescent="0.3">
      <c r="E1298" t="s">
        <v>188</v>
      </c>
      <c r="G1298" t="s">
        <v>222</v>
      </c>
      <c r="N1298" t="s">
        <v>121</v>
      </c>
    </row>
    <row r="1299" spans="5:20" x14ac:dyDescent="0.3">
      <c r="E1299" t="s">
        <v>189</v>
      </c>
      <c r="G1299" t="s">
        <v>223</v>
      </c>
      <c r="N1299" t="s">
        <v>245</v>
      </c>
    </row>
    <row r="1300" spans="5:20" x14ac:dyDescent="0.3">
      <c r="E1300" t="s">
        <v>190</v>
      </c>
      <c r="G1300" t="s">
        <v>224</v>
      </c>
      <c r="N1300" t="s">
        <v>243</v>
      </c>
    </row>
    <row r="1301" spans="5:20" x14ac:dyDescent="0.3">
      <c r="E1301" t="s">
        <v>191</v>
      </c>
      <c r="G1301" t="s">
        <v>225</v>
      </c>
      <c r="N1301" t="s">
        <v>242</v>
      </c>
      <c r="R1301" s="6"/>
      <c r="S1301" s="6"/>
      <c r="T1301" s="6"/>
    </row>
    <row r="1302" spans="5:20" x14ac:dyDescent="0.3">
      <c r="E1302" t="s">
        <v>192</v>
      </c>
      <c r="G1302" t="s">
        <v>226</v>
      </c>
      <c r="N1302" t="s">
        <v>242</v>
      </c>
      <c r="R1302" s="6"/>
      <c r="S1302" s="6"/>
      <c r="T1302" s="6"/>
    </row>
    <row r="1303" spans="5:20" x14ac:dyDescent="0.3">
      <c r="E1303" t="s">
        <v>193</v>
      </c>
      <c r="G1303" t="s">
        <v>227</v>
      </c>
      <c r="N1303" t="s">
        <v>242</v>
      </c>
    </row>
    <row r="1304" spans="5:20" x14ac:dyDescent="0.3">
      <c r="E1304" t="s">
        <v>194</v>
      </c>
      <c r="G1304" t="s">
        <v>228</v>
      </c>
      <c r="N1304" t="s">
        <v>242</v>
      </c>
    </row>
    <row r="1305" spans="5:20" x14ac:dyDescent="0.3">
      <c r="E1305" t="s">
        <v>195</v>
      </c>
      <c r="G1305" t="s">
        <v>229</v>
      </c>
      <c r="N1305" t="s">
        <v>243</v>
      </c>
    </row>
    <row r="1306" spans="5:20" x14ac:dyDescent="0.3">
      <c r="E1306" t="s">
        <v>196</v>
      </c>
      <c r="G1306" t="s">
        <v>230</v>
      </c>
      <c r="N1306" t="s">
        <v>246</v>
      </c>
    </row>
    <row r="1307" spans="5:20" x14ac:dyDescent="0.3">
      <c r="E1307" t="s">
        <v>197</v>
      </c>
      <c r="G1307" t="s">
        <v>231</v>
      </c>
      <c r="N1307" t="s">
        <v>246</v>
      </c>
    </row>
    <row r="1308" spans="5:20" x14ac:dyDescent="0.3">
      <c r="E1308" t="s">
        <v>198</v>
      </c>
      <c r="G1308" t="s">
        <v>232</v>
      </c>
      <c r="N1308" t="s">
        <v>246</v>
      </c>
    </row>
    <row r="1309" spans="5:20" x14ac:dyDescent="0.3">
      <c r="E1309" t="s">
        <v>199</v>
      </c>
      <c r="G1309" t="s">
        <v>233</v>
      </c>
      <c r="N1309" t="s">
        <v>246</v>
      </c>
    </row>
    <row r="1310" spans="5:20" x14ac:dyDescent="0.3">
      <c r="E1310" t="s">
        <v>200</v>
      </c>
      <c r="G1310" t="s">
        <v>234</v>
      </c>
      <c r="N1310" t="s">
        <v>247</v>
      </c>
    </row>
    <row r="1311" spans="5:20" x14ac:dyDescent="0.3">
      <c r="E1311" t="s">
        <v>201</v>
      </c>
      <c r="G1311" t="s">
        <v>235</v>
      </c>
      <c r="N1311" t="s">
        <v>248</v>
      </c>
    </row>
    <row r="1312" spans="5:20" x14ac:dyDescent="0.3">
      <c r="E1312" t="s">
        <v>202</v>
      </c>
      <c r="G1312" t="s">
        <v>236</v>
      </c>
      <c r="N1312" t="s">
        <v>246</v>
      </c>
    </row>
    <row r="1313" spans="5:14" x14ac:dyDescent="0.3">
      <c r="E1313" t="s">
        <v>203</v>
      </c>
      <c r="G1313" t="s">
        <v>237</v>
      </c>
      <c r="N1313" t="s">
        <v>246</v>
      </c>
    </row>
    <row r="1314" spans="5:14" x14ac:dyDescent="0.3">
      <c r="E1314" t="s">
        <v>204</v>
      </c>
      <c r="G1314" t="s">
        <v>238</v>
      </c>
      <c r="N1314" t="s">
        <v>118</v>
      </c>
    </row>
    <row r="1315" spans="5:14" x14ac:dyDescent="0.3">
      <c r="E1315" t="s">
        <v>205</v>
      </c>
      <c r="G1315" t="s">
        <v>239</v>
      </c>
      <c r="N1315" t="s">
        <v>249</v>
      </c>
    </row>
    <row r="1413" spans="3:25" hidden="1" x14ac:dyDescent="0.3"/>
    <row r="1414" spans="3:25" hidden="1" x14ac:dyDescent="0.3"/>
    <row r="1415" spans="3:25" hidden="1" x14ac:dyDescent="0.3"/>
    <row r="1416" spans="3:25" hidden="1" x14ac:dyDescent="0.3"/>
    <row r="1417" spans="3:25" hidden="1" x14ac:dyDescent="0.3"/>
    <row r="1418" spans="3:25" hidden="1" x14ac:dyDescent="0.3"/>
    <row r="1419" spans="3:25" hidden="1" x14ac:dyDescent="0.3"/>
    <row r="1420" spans="3:25" ht="15.6" hidden="1" customHeight="1" x14ac:dyDescent="0.3">
      <c r="C1420" s="23" t="s">
        <v>253</v>
      </c>
      <c r="D1420" s="14"/>
      <c r="E1420" s="14"/>
      <c r="F1420" s="16"/>
      <c r="H1420" s="15" t="s">
        <v>254</v>
      </c>
      <c r="I1420" s="14"/>
      <c r="J1420" s="14"/>
      <c r="K1420" s="14"/>
      <c r="L1420" s="14"/>
      <c r="M1420" s="14"/>
      <c r="N1420" s="14"/>
      <c r="O1420" s="16"/>
      <c r="P1420" s="100">
        <v>0</v>
      </c>
      <c r="Q1420" s="101"/>
      <c r="R1420" s="52"/>
      <c r="S1420" s="53"/>
      <c r="T1420" s="53"/>
      <c r="U1420" s="53"/>
      <c r="V1420" s="53"/>
      <c r="W1420" s="53"/>
      <c r="X1420" s="53"/>
      <c r="Y1420" s="54"/>
    </row>
    <row r="1421" spans="3:25" ht="14.4" hidden="1" customHeight="1" x14ac:dyDescent="0.3">
      <c r="C1421" s="17"/>
      <c r="D1421" s="8"/>
      <c r="E1421" s="8"/>
      <c r="F1421" s="18"/>
      <c r="H1421" s="17" t="s">
        <v>255</v>
      </c>
      <c r="I1421" s="8"/>
      <c r="J1421" s="8"/>
      <c r="K1421" s="8"/>
      <c r="L1421" s="8"/>
      <c r="M1421" s="8"/>
      <c r="N1421" s="8"/>
      <c r="O1421" s="18"/>
      <c r="P1421" s="100">
        <v>0</v>
      </c>
      <c r="Q1421" s="101"/>
      <c r="R1421" s="51"/>
      <c r="Y1421" s="55"/>
    </row>
    <row r="1422" spans="3:25" ht="14.4" hidden="1" customHeight="1" x14ac:dyDescent="0.3">
      <c r="C1422" s="17"/>
      <c r="D1422" s="8"/>
      <c r="E1422" s="8"/>
      <c r="F1422" s="18"/>
      <c r="H1422" s="17" t="s">
        <v>256</v>
      </c>
      <c r="I1422" s="8"/>
      <c r="J1422" s="8"/>
      <c r="K1422" s="8"/>
      <c r="L1422" s="8"/>
      <c r="M1422" s="8"/>
      <c r="N1422" s="8"/>
      <c r="O1422" s="18"/>
      <c r="P1422" s="100" t="s">
        <v>395</v>
      </c>
      <c r="Q1422" s="101"/>
      <c r="R1422" s="51"/>
      <c r="Y1422" s="55"/>
    </row>
    <row r="1423" spans="3:25" ht="14.4" hidden="1" customHeight="1" x14ac:dyDescent="0.3">
      <c r="C1423" s="17"/>
      <c r="D1423" s="8"/>
      <c r="E1423" s="8"/>
      <c r="F1423" s="18"/>
      <c r="H1423" s="19" t="s">
        <v>257</v>
      </c>
      <c r="I1423" s="8"/>
      <c r="J1423" s="8"/>
      <c r="K1423" s="8"/>
      <c r="L1423" s="8"/>
      <c r="M1423" s="8"/>
      <c r="N1423" s="8"/>
      <c r="O1423" s="18"/>
      <c r="P1423" s="100">
        <v>1</v>
      </c>
      <c r="Q1423" s="101"/>
      <c r="R1423" s="51"/>
      <c r="Y1423" s="55"/>
    </row>
    <row r="1424" spans="3:25" ht="14.4" hidden="1" customHeight="1" x14ac:dyDescent="0.3">
      <c r="C1424" s="24"/>
      <c r="D1424" s="21"/>
      <c r="E1424" s="21"/>
      <c r="F1424" s="22"/>
      <c r="H1424" s="20" t="s">
        <v>258</v>
      </c>
      <c r="I1424" s="21"/>
      <c r="J1424" s="21"/>
      <c r="K1424" s="21"/>
      <c r="L1424" s="21"/>
      <c r="M1424" s="21"/>
      <c r="N1424" s="21"/>
      <c r="O1424" s="22"/>
      <c r="P1424" s="100">
        <v>1</v>
      </c>
      <c r="Q1424" s="101"/>
      <c r="R1424" s="56"/>
      <c r="S1424" s="57"/>
      <c r="T1424" s="57"/>
      <c r="U1424" s="57"/>
      <c r="V1424" s="57"/>
      <c r="W1424" s="57"/>
      <c r="X1424" s="57"/>
      <c r="Y1424" s="58"/>
    </row>
    <row r="1425" spans="3:54" ht="15.6" hidden="1" customHeight="1" x14ac:dyDescent="0.3">
      <c r="C1425" s="10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</row>
    <row r="1426" spans="3:54" ht="14.4" hidden="1" customHeight="1" x14ac:dyDescent="0.3">
      <c r="C1426" s="15"/>
      <c r="D1426" s="14"/>
      <c r="E1426" s="14"/>
      <c r="F1426" s="16"/>
      <c r="H1426" s="92"/>
      <c r="I1426" s="93"/>
      <c r="J1426" s="93"/>
      <c r="K1426" s="93"/>
      <c r="L1426" s="93"/>
      <c r="M1426" s="93"/>
      <c r="N1426" s="93"/>
      <c r="O1426" s="94"/>
      <c r="P1426" s="106"/>
      <c r="Q1426" s="106"/>
    </row>
    <row r="1427" spans="3:54" ht="14.4" hidden="1" customHeight="1" x14ac:dyDescent="0.3">
      <c r="C1427" s="17" t="s">
        <v>259</v>
      </c>
      <c r="D1427" s="8"/>
      <c r="E1427" s="8"/>
      <c r="F1427" s="18"/>
      <c r="H1427" s="95" t="s">
        <v>260</v>
      </c>
      <c r="I1427" s="96"/>
      <c r="J1427" s="96"/>
      <c r="K1427" s="96"/>
      <c r="L1427" s="96"/>
      <c r="M1427" s="96"/>
      <c r="N1427" s="96"/>
      <c r="O1427" s="97"/>
      <c r="P1427" s="100">
        <v>1</v>
      </c>
      <c r="Q1427" s="101"/>
      <c r="R1427" s="52"/>
      <c r="S1427" s="53"/>
      <c r="T1427" s="53"/>
      <c r="U1427" s="53"/>
      <c r="V1427" s="53"/>
      <c r="W1427" s="53"/>
      <c r="X1427" s="53"/>
      <c r="Y1427" s="54"/>
    </row>
    <row r="1428" spans="3:54" ht="15.6" hidden="1" customHeight="1" x14ac:dyDescent="0.3">
      <c r="C1428" s="25"/>
      <c r="D1428" s="8"/>
      <c r="E1428" s="8"/>
      <c r="F1428" s="18"/>
      <c r="H1428" s="95" t="s">
        <v>261</v>
      </c>
      <c r="I1428" s="96"/>
      <c r="J1428" s="96"/>
      <c r="K1428" s="96"/>
      <c r="L1428" s="96"/>
      <c r="M1428" s="96"/>
      <c r="N1428" s="96"/>
      <c r="O1428" s="97"/>
      <c r="P1428" s="100" t="s">
        <v>398</v>
      </c>
      <c r="Q1428" s="101"/>
      <c r="R1428" s="51"/>
      <c r="Y1428" s="55"/>
    </row>
    <row r="1429" spans="3:54" ht="14.4" hidden="1" customHeight="1" x14ac:dyDescent="0.3">
      <c r="C1429" s="17"/>
      <c r="D1429" s="8"/>
      <c r="E1429" s="8"/>
      <c r="F1429" s="18"/>
      <c r="H1429" s="17" t="s">
        <v>262</v>
      </c>
      <c r="I1429" s="8"/>
      <c r="J1429" s="8"/>
      <c r="K1429" s="8"/>
      <c r="L1429" s="8"/>
      <c r="M1429" s="8"/>
      <c r="N1429" s="8"/>
      <c r="O1429" s="18"/>
      <c r="P1429" s="100">
        <v>1</v>
      </c>
      <c r="Q1429" s="101"/>
      <c r="R1429" s="51"/>
      <c r="Y1429" s="55"/>
    </row>
    <row r="1430" spans="3:54" ht="14.4" hidden="1" customHeight="1" x14ac:dyDescent="0.3">
      <c r="C1430" s="24"/>
      <c r="D1430" s="21"/>
      <c r="E1430" s="21"/>
      <c r="F1430" s="22"/>
      <c r="H1430" s="24" t="s">
        <v>263</v>
      </c>
      <c r="I1430" s="21"/>
      <c r="J1430" s="21"/>
      <c r="K1430" s="21"/>
      <c r="L1430" s="21"/>
      <c r="M1430" s="21"/>
      <c r="N1430" s="21"/>
      <c r="O1430" s="22"/>
      <c r="P1430" s="104">
        <v>0</v>
      </c>
      <c r="Q1430" s="101"/>
      <c r="R1430" s="56"/>
      <c r="S1430" s="57"/>
      <c r="T1430" s="57"/>
      <c r="U1430" s="57"/>
      <c r="V1430" s="57"/>
      <c r="W1430" s="57"/>
      <c r="X1430" s="57"/>
      <c r="Y1430" s="58"/>
    </row>
    <row r="1431" spans="3:54" ht="14.4" hidden="1" customHeight="1" x14ac:dyDescent="0.3"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</row>
    <row r="1432" spans="3:54" ht="14.4" hidden="1" customHeight="1" x14ac:dyDescent="0.3">
      <c r="C1432" s="15"/>
      <c r="D1432" s="14"/>
      <c r="E1432" s="14"/>
      <c r="F1432" s="16"/>
      <c r="H1432" s="15"/>
      <c r="I1432" s="14"/>
      <c r="J1432" s="14"/>
      <c r="K1432" s="14"/>
      <c r="L1432" s="14"/>
      <c r="M1432" s="14"/>
      <c r="N1432" s="14"/>
      <c r="O1432" s="16"/>
      <c r="P1432" s="102"/>
      <c r="Q1432" s="103"/>
    </row>
    <row r="1433" spans="3:54" ht="14.4" hidden="1" customHeight="1" x14ac:dyDescent="0.3">
      <c r="C1433" s="17" t="s">
        <v>264</v>
      </c>
      <c r="D1433" s="8"/>
      <c r="E1433" s="8"/>
      <c r="F1433" s="18"/>
      <c r="H1433" s="17" t="s">
        <v>265</v>
      </c>
      <c r="I1433" s="8"/>
      <c r="J1433" s="8"/>
      <c r="K1433" s="8"/>
      <c r="L1433" s="8"/>
      <c r="M1433" s="8"/>
      <c r="N1433" s="8"/>
      <c r="O1433" s="18"/>
      <c r="P1433" s="100">
        <v>1</v>
      </c>
      <c r="Q1433" s="101"/>
      <c r="R1433" s="52"/>
      <c r="S1433" s="53"/>
      <c r="T1433" s="53"/>
      <c r="U1433" s="53"/>
      <c r="V1433" s="53"/>
      <c r="W1433" s="53"/>
      <c r="X1433" s="53"/>
      <c r="Y1433" s="54"/>
    </row>
    <row r="1434" spans="3:54" ht="15.6" hidden="1" x14ac:dyDescent="0.3">
      <c r="C1434" s="25"/>
      <c r="D1434" s="8"/>
      <c r="E1434" s="8"/>
      <c r="F1434" s="18"/>
      <c r="H1434" s="17" t="s">
        <v>266</v>
      </c>
      <c r="I1434" s="8"/>
      <c r="J1434" s="8"/>
      <c r="K1434" s="8"/>
      <c r="L1434" s="8"/>
      <c r="M1434" s="8"/>
      <c r="N1434" s="8"/>
      <c r="O1434" s="18"/>
      <c r="P1434" s="111">
        <v>1</v>
      </c>
      <c r="Q1434" s="111"/>
      <c r="R1434" s="51"/>
      <c r="Y1434" s="55"/>
    </row>
    <row r="1435" spans="3:54" hidden="1" x14ac:dyDescent="0.3">
      <c r="C1435" s="17"/>
      <c r="D1435" s="8"/>
      <c r="E1435" s="8"/>
      <c r="F1435" s="18"/>
      <c r="H1435" s="17" t="s">
        <v>267</v>
      </c>
      <c r="I1435" s="8"/>
      <c r="J1435" s="8"/>
      <c r="K1435" s="8"/>
      <c r="L1435" s="8"/>
      <c r="M1435" s="8"/>
      <c r="N1435" s="8"/>
      <c r="O1435" s="18"/>
      <c r="P1435" s="111">
        <v>0</v>
      </c>
      <c r="Q1435" s="111"/>
      <c r="R1435" s="51"/>
      <c r="Y1435" s="55"/>
    </row>
    <row r="1436" spans="3:54" hidden="1" x14ac:dyDescent="0.3">
      <c r="C1436" s="17"/>
      <c r="D1436" s="8"/>
      <c r="E1436" s="8"/>
      <c r="F1436" s="18"/>
      <c r="H1436" s="17" t="s">
        <v>268</v>
      </c>
      <c r="I1436" s="8"/>
      <c r="J1436" s="8"/>
      <c r="K1436" s="8"/>
      <c r="L1436" s="8"/>
      <c r="M1436" s="8"/>
      <c r="N1436" s="8"/>
      <c r="O1436" s="18"/>
      <c r="P1436" s="100">
        <v>0</v>
      </c>
      <c r="Q1436" s="101"/>
      <c r="R1436" s="51"/>
      <c r="Y1436" s="55"/>
      <c r="BB1436" s="5" t="s">
        <v>392</v>
      </c>
    </row>
    <row r="1437" spans="3:54" ht="15.6" hidden="1" x14ac:dyDescent="0.3">
      <c r="C1437" s="25"/>
      <c r="D1437" s="8"/>
      <c r="E1437" s="8"/>
      <c r="F1437" s="18"/>
      <c r="H1437" s="17" t="s">
        <v>391</v>
      </c>
      <c r="I1437" s="8"/>
      <c r="J1437" s="8"/>
      <c r="K1437" s="8"/>
      <c r="L1437" s="8"/>
      <c r="M1437" s="8"/>
      <c r="N1437" s="8"/>
      <c r="O1437" s="18"/>
      <c r="P1437" s="100">
        <v>1</v>
      </c>
      <c r="Q1437" s="101"/>
      <c r="R1437" s="51"/>
      <c r="Y1437" s="55"/>
      <c r="BB1437" s="5">
        <v>0</v>
      </c>
    </row>
    <row r="1438" spans="3:54" hidden="1" x14ac:dyDescent="0.3">
      <c r="C1438" s="24"/>
      <c r="D1438" s="21"/>
      <c r="E1438" s="21"/>
      <c r="F1438" s="22"/>
      <c r="H1438" s="24" t="s">
        <v>269</v>
      </c>
      <c r="I1438" s="21"/>
      <c r="J1438" s="21"/>
      <c r="K1438" s="21"/>
      <c r="L1438" s="21"/>
      <c r="M1438" s="21"/>
      <c r="N1438" s="21"/>
      <c r="O1438" s="22"/>
      <c r="P1438" s="100">
        <v>0</v>
      </c>
      <c r="Q1438" s="101"/>
      <c r="R1438" s="56"/>
      <c r="S1438" s="57"/>
      <c r="T1438" s="57"/>
      <c r="U1438" s="57"/>
      <c r="V1438" s="57"/>
      <c r="W1438" s="57"/>
      <c r="X1438" s="57"/>
      <c r="Y1438" s="58"/>
      <c r="BB1438" s="5">
        <v>1</v>
      </c>
    </row>
    <row r="1439" spans="3:54" hidden="1" x14ac:dyDescent="0.3"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</row>
    <row r="1440" spans="3:54" hidden="1" x14ac:dyDescent="0.3">
      <c r="C1440" s="15"/>
      <c r="D1440" s="14"/>
      <c r="E1440" s="14"/>
      <c r="F1440" s="16"/>
      <c r="H1440" s="15"/>
      <c r="I1440" s="14"/>
      <c r="J1440" s="14"/>
      <c r="K1440" s="14"/>
      <c r="L1440" s="14"/>
      <c r="M1440" s="14"/>
      <c r="N1440" s="14"/>
      <c r="O1440" s="16"/>
      <c r="P1440" s="102"/>
      <c r="Q1440" s="103"/>
    </row>
    <row r="1441" spans="3:54" hidden="1" x14ac:dyDescent="0.3">
      <c r="C1441" s="17" t="s">
        <v>116</v>
      </c>
      <c r="D1441" s="8"/>
      <c r="E1441" s="8"/>
      <c r="F1441" s="18"/>
      <c r="H1441" s="17" t="s">
        <v>270</v>
      </c>
      <c r="I1441" s="8"/>
      <c r="J1441" s="8"/>
      <c r="K1441" s="8"/>
      <c r="L1441" s="8"/>
      <c r="M1441" s="8"/>
      <c r="N1441" s="8"/>
      <c r="O1441" s="18"/>
      <c r="P1441" s="100">
        <v>0</v>
      </c>
      <c r="Q1441" s="101"/>
      <c r="R1441" s="52"/>
      <c r="S1441" s="53"/>
      <c r="T1441" s="53"/>
      <c r="U1441" s="53"/>
      <c r="V1441" s="53"/>
      <c r="W1441" s="53"/>
      <c r="X1441" s="53"/>
      <c r="Y1441" s="54"/>
      <c r="BB1441" t="s">
        <v>407</v>
      </c>
    </row>
    <row r="1442" spans="3:54" ht="15.6" hidden="1" x14ac:dyDescent="0.3">
      <c r="C1442" s="26"/>
      <c r="D1442" s="8"/>
      <c r="E1442" s="8"/>
      <c r="F1442" s="18"/>
      <c r="H1442" s="17" t="s">
        <v>271</v>
      </c>
      <c r="I1442" s="8"/>
      <c r="J1442" s="8"/>
      <c r="K1442" s="8"/>
      <c r="L1442" s="8"/>
      <c r="M1442" s="8"/>
      <c r="N1442" s="8"/>
      <c r="O1442" s="18"/>
      <c r="P1442" s="100">
        <v>1</v>
      </c>
      <c r="Q1442" s="101"/>
      <c r="R1442" s="51"/>
      <c r="Y1442" s="55"/>
      <c r="BB1442" t="s">
        <v>408</v>
      </c>
    </row>
    <row r="1443" spans="3:54" hidden="1" x14ac:dyDescent="0.3">
      <c r="C1443" s="24"/>
      <c r="D1443" s="21"/>
      <c r="E1443" s="21"/>
      <c r="F1443" s="22"/>
      <c r="H1443" s="24" t="s">
        <v>272</v>
      </c>
      <c r="I1443" s="21"/>
      <c r="J1443" s="21"/>
      <c r="K1443" s="21"/>
      <c r="L1443" s="21"/>
      <c r="M1443" s="21"/>
      <c r="N1443" s="21"/>
      <c r="O1443" s="22"/>
      <c r="P1443" s="100">
        <v>0</v>
      </c>
      <c r="Q1443" s="101"/>
      <c r="R1443" s="56"/>
      <c r="S1443" s="57"/>
      <c r="T1443" s="57"/>
      <c r="U1443" s="57"/>
      <c r="V1443" s="57"/>
      <c r="W1443" s="57"/>
      <c r="X1443" s="57"/>
      <c r="Y1443" s="58"/>
      <c r="BB1443" t="s">
        <v>409</v>
      </c>
    </row>
    <row r="1444" spans="3:54" ht="15.6" hidden="1" x14ac:dyDescent="0.3">
      <c r="C1444" s="10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</row>
    <row r="1445" spans="3:54" hidden="1" x14ac:dyDescent="0.3">
      <c r="C1445" s="15"/>
      <c r="D1445" s="14"/>
      <c r="E1445" s="14"/>
      <c r="F1445" s="16"/>
      <c r="H1445" s="15"/>
      <c r="I1445" s="14"/>
      <c r="J1445" s="14"/>
      <c r="K1445" s="14"/>
      <c r="L1445" s="14"/>
      <c r="M1445" s="14"/>
      <c r="N1445" s="14"/>
      <c r="O1445" s="16"/>
      <c r="P1445" s="102"/>
      <c r="Q1445" s="103"/>
      <c r="BB1445" t="s">
        <v>410</v>
      </c>
    </row>
    <row r="1446" spans="3:54" hidden="1" x14ac:dyDescent="0.3">
      <c r="C1446" s="17" t="s">
        <v>273</v>
      </c>
      <c r="D1446" s="8"/>
      <c r="E1446" s="8"/>
      <c r="F1446" s="18"/>
      <c r="H1446" s="17" t="s">
        <v>274</v>
      </c>
      <c r="I1446" s="8"/>
      <c r="J1446" s="8"/>
      <c r="K1446" s="8"/>
      <c r="L1446" s="8"/>
      <c r="M1446" s="8"/>
      <c r="N1446" s="8"/>
      <c r="O1446" s="18"/>
      <c r="P1446" s="107">
        <v>0</v>
      </c>
      <c r="Q1446" s="107"/>
      <c r="R1446" s="52"/>
      <c r="S1446" s="53"/>
      <c r="T1446" s="53"/>
      <c r="U1446" s="53"/>
      <c r="V1446" s="53"/>
      <c r="W1446" s="53"/>
      <c r="X1446" s="53"/>
      <c r="Y1446" s="54"/>
      <c r="BB1446" t="s">
        <v>398</v>
      </c>
    </row>
    <row r="1447" spans="3:54" hidden="1" x14ac:dyDescent="0.3">
      <c r="C1447" s="17"/>
      <c r="D1447" s="8"/>
      <c r="E1447" s="8"/>
      <c r="F1447" s="18"/>
      <c r="H1447" s="17" t="s">
        <v>275</v>
      </c>
      <c r="I1447" s="8"/>
      <c r="J1447" s="8"/>
      <c r="K1447" s="8"/>
      <c r="L1447" s="8"/>
      <c r="M1447" s="8"/>
      <c r="N1447" s="8"/>
      <c r="O1447" s="18"/>
      <c r="P1447" s="100">
        <v>1</v>
      </c>
      <c r="Q1447" s="101"/>
      <c r="R1447" s="51"/>
      <c r="Y1447" s="55"/>
      <c r="BB1447" t="s">
        <v>401</v>
      </c>
    </row>
    <row r="1448" spans="3:54" hidden="1" x14ac:dyDescent="0.3">
      <c r="C1448" s="17"/>
      <c r="D1448" s="8"/>
      <c r="E1448" s="8"/>
      <c r="F1448" s="18"/>
      <c r="H1448" s="17" t="s">
        <v>276</v>
      </c>
      <c r="I1448" s="8"/>
      <c r="J1448" s="8"/>
      <c r="K1448" s="8"/>
      <c r="L1448" s="8"/>
      <c r="M1448" s="8"/>
      <c r="N1448" s="8"/>
      <c r="O1448" s="18"/>
      <c r="P1448" s="100">
        <v>0</v>
      </c>
      <c r="Q1448" s="101"/>
      <c r="R1448" s="51"/>
      <c r="Y1448" s="55"/>
    </row>
    <row r="1449" spans="3:54" hidden="1" x14ac:dyDescent="0.3">
      <c r="C1449" s="17"/>
      <c r="D1449" s="8"/>
      <c r="E1449" s="8"/>
      <c r="F1449" s="18"/>
      <c r="H1449" s="17" t="s">
        <v>277</v>
      </c>
      <c r="I1449" s="8"/>
      <c r="J1449" s="8"/>
      <c r="K1449" s="8"/>
      <c r="L1449" s="8"/>
      <c r="M1449" s="8"/>
      <c r="N1449" s="8"/>
      <c r="O1449" s="18"/>
      <c r="P1449" s="100">
        <v>1</v>
      </c>
      <c r="Q1449" s="101"/>
      <c r="R1449" s="51"/>
      <c r="Y1449" s="55"/>
      <c r="BB1449" t="s">
        <v>411</v>
      </c>
    </row>
    <row r="1450" spans="3:54" hidden="1" x14ac:dyDescent="0.3">
      <c r="C1450" s="17"/>
      <c r="D1450" s="8"/>
      <c r="E1450" s="8"/>
      <c r="F1450" s="18"/>
      <c r="H1450" s="17" t="s">
        <v>278</v>
      </c>
      <c r="I1450" s="8"/>
      <c r="J1450" s="8"/>
      <c r="K1450" s="8"/>
      <c r="L1450" s="8"/>
      <c r="M1450" s="8"/>
      <c r="N1450" s="8"/>
      <c r="O1450" s="18"/>
      <c r="P1450" s="100">
        <v>1</v>
      </c>
      <c r="Q1450" s="101"/>
      <c r="R1450" s="56"/>
      <c r="S1450" s="57"/>
      <c r="T1450" s="57"/>
      <c r="U1450" s="57"/>
      <c r="V1450" s="57"/>
      <c r="W1450" s="57"/>
      <c r="X1450" s="57"/>
      <c r="Y1450" s="58"/>
      <c r="BB1450" t="s">
        <v>412</v>
      </c>
    </row>
    <row r="1451" spans="3:54" hidden="1" x14ac:dyDescent="0.3">
      <c r="C1451" s="24"/>
      <c r="D1451" s="21"/>
      <c r="E1451" s="21"/>
      <c r="F1451" s="22"/>
      <c r="H1451" s="24"/>
      <c r="I1451" s="21"/>
      <c r="J1451" s="21"/>
      <c r="K1451" s="21"/>
      <c r="L1451" s="21"/>
      <c r="M1451" s="21"/>
      <c r="N1451" s="21"/>
      <c r="O1451" s="22"/>
      <c r="P1451" s="105"/>
      <c r="Q1451" s="106"/>
      <c r="BB1451" t="s">
        <v>409</v>
      </c>
    </row>
    <row r="1452" spans="3:54" hidden="1" x14ac:dyDescent="0.3"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BB1452" t="s">
        <v>410</v>
      </c>
    </row>
    <row r="1453" spans="3:54" hidden="1" x14ac:dyDescent="0.3">
      <c r="C1453" s="15"/>
      <c r="D1453" s="14"/>
      <c r="E1453" s="14"/>
      <c r="F1453" s="16"/>
      <c r="H1453" s="15"/>
      <c r="I1453" s="14"/>
      <c r="J1453" s="14"/>
      <c r="K1453" s="14"/>
      <c r="L1453" s="14"/>
      <c r="M1453" s="14"/>
      <c r="N1453" s="14"/>
      <c r="O1453" s="16"/>
      <c r="P1453" s="102"/>
      <c r="Q1453" s="103"/>
    </row>
    <row r="1454" spans="3:54" hidden="1" x14ac:dyDescent="0.3">
      <c r="C1454" s="17" t="s">
        <v>279</v>
      </c>
      <c r="D1454" s="8"/>
      <c r="E1454" s="8"/>
      <c r="F1454" s="18"/>
      <c r="H1454" s="17" t="s">
        <v>280</v>
      </c>
      <c r="I1454" s="8"/>
      <c r="J1454" s="8"/>
      <c r="K1454" s="8"/>
      <c r="L1454" s="8"/>
      <c r="M1454" s="8"/>
      <c r="N1454" s="8"/>
      <c r="O1454" s="18"/>
      <c r="P1454" s="100">
        <v>0</v>
      </c>
      <c r="Q1454" s="101"/>
      <c r="R1454" s="52"/>
      <c r="S1454" s="53"/>
      <c r="T1454" s="53"/>
      <c r="U1454" s="53"/>
      <c r="V1454" s="53"/>
      <c r="W1454" s="53"/>
      <c r="X1454" s="53"/>
      <c r="Y1454" s="54"/>
      <c r="BB1454">
        <v>0</v>
      </c>
    </row>
    <row r="1455" spans="3:54" hidden="1" x14ac:dyDescent="0.3">
      <c r="C1455" s="17"/>
      <c r="D1455" s="8"/>
      <c r="E1455" s="8"/>
      <c r="F1455" s="18"/>
      <c r="H1455" s="17" t="s">
        <v>281</v>
      </c>
      <c r="I1455" s="8"/>
      <c r="J1455" s="8"/>
      <c r="K1455" s="8"/>
      <c r="L1455" s="8"/>
      <c r="M1455" s="8"/>
      <c r="N1455" s="8"/>
      <c r="O1455" s="18"/>
      <c r="P1455" s="100">
        <v>1</v>
      </c>
      <c r="Q1455" s="101"/>
      <c r="R1455" s="56"/>
      <c r="S1455" s="57"/>
      <c r="T1455" s="57"/>
      <c r="U1455" s="57"/>
      <c r="V1455" s="57"/>
      <c r="W1455" s="57"/>
      <c r="X1455" s="57"/>
      <c r="Y1455" s="58"/>
      <c r="BB1455">
        <v>1</v>
      </c>
    </row>
    <row r="1456" spans="3:54" ht="15.6" hidden="1" x14ac:dyDescent="0.3">
      <c r="C1456" s="27"/>
      <c r="D1456" s="21"/>
      <c r="E1456" s="21"/>
      <c r="F1456" s="22"/>
      <c r="H1456" s="24"/>
      <c r="I1456" s="21"/>
      <c r="J1456" s="21"/>
      <c r="K1456" s="21"/>
      <c r="L1456" s="21"/>
      <c r="M1456" s="21"/>
      <c r="N1456" s="21"/>
      <c r="O1456" s="22"/>
      <c r="P1456" s="108"/>
      <c r="Q1456" s="109"/>
      <c r="BB1456">
        <v>2</v>
      </c>
    </row>
    <row r="1457" spans="3:54" ht="15.6" hidden="1" x14ac:dyDescent="0.3">
      <c r="C1457" s="10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BB1457" t="s">
        <v>413</v>
      </c>
    </row>
    <row r="1458" spans="3:54" hidden="1" x14ac:dyDescent="0.3">
      <c r="C1458" s="15"/>
      <c r="D1458" s="14"/>
      <c r="E1458" s="14"/>
      <c r="F1458" s="16"/>
      <c r="H1458" s="15"/>
      <c r="I1458" s="14"/>
      <c r="J1458" s="14"/>
      <c r="K1458" s="14"/>
      <c r="L1458" s="14"/>
      <c r="M1458" s="14"/>
      <c r="N1458" s="14"/>
      <c r="O1458" s="16"/>
      <c r="P1458" s="102"/>
      <c r="Q1458" s="103"/>
    </row>
    <row r="1459" spans="3:54" hidden="1" x14ac:dyDescent="0.3">
      <c r="C1459" s="17" t="s">
        <v>282</v>
      </c>
      <c r="D1459" s="8"/>
      <c r="E1459" s="8"/>
      <c r="F1459" s="18"/>
      <c r="H1459" s="17" t="s">
        <v>283</v>
      </c>
      <c r="I1459" s="8"/>
      <c r="J1459" s="8"/>
      <c r="K1459" s="8"/>
      <c r="L1459" s="8"/>
      <c r="M1459" s="8"/>
      <c r="N1459" s="8"/>
      <c r="O1459" s="18"/>
      <c r="P1459" s="100">
        <v>1</v>
      </c>
      <c r="Q1459" s="104"/>
      <c r="R1459" s="52"/>
      <c r="S1459" s="53"/>
      <c r="T1459" s="53"/>
      <c r="U1459" s="53"/>
      <c r="V1459" s="53"/>
      <c r="W1459" s="53"/>
      <c r="X1459" s="53"/>
      <c r="Y1459" s="54"/>
      <c r="BB1459" t="s">
        <v>414</v>
      </c>
    </row>
    <row r="1460" spans="3:54" ht="15.6" hidden="1" x14ac:dyDescent="0.3">
      <c r="C1460" s="25"/>
      <c r="D1460" s="8"/>
      <c r="E1460" s="8"/>
      <c r="F1460" s="18"/>
      <c r="H1460" s="17" t="s">
        <v>284</v>
      </c>
      <c r="I1460" s="8"/>
      <c r="J1460" s="8"/>
      <c r="K1460" s="8"/>
      <c r="L1460" s="8"/>
      <c r="M1460" s="8"/>
      <c r="N1460" s="8"/>
      <c r="O1460" s="18"/>
      <c r="P1460" s="100" t="s">
        <v>401</v>
      </c>
      <c r="Q1460" s="104"/>
      <c r="R1460" s="51"/>
      <c r="Y1460" s="55"/>
      <c r="BB1460" t="s">
        <v>415</v>
      </c>
    </row>
    <row r="1461" spans="3:54" hidden="1" x14ac:dyDescent="0.3">
      <c r="C1461" s="17"/>
      <c r="D1461" s="8"/>
      <c r="E1461" s="8"/>
      <c r="F1461" s="18"/>
      <c r="H1461" s="17" t="s">
        <v>285</v>
      </c>
      <c r="I1461" s="8"/>
      <c r="J1461" s="8"/>
      <c r="K1461" s="8"/>
      <c r="L1461" s="8"/>
      <c r="M1461" s="8"/>
      <c r="N1461" s="8"/>
      <c r="O1461" s="18"/>
      <c r="P1461" s="100" t="s">
        <v>401</v>
      </c>
      <c r="Q1461" s="104"/>
      <c r="R1461" s="51"/>
      <c r="Y1461" s="55"/>
      <c r="BB1461" t="s">
        <v>416</v>
      </c>
    </row>
    <row r="1462" spans="3:54" hidden="1" x14ac:dyDescent="0.3">
      <c r="C1462" s="17"/>
      <c r="D1462" s="8"/>
      <c r="E1462" s="8"/>
      <c r="F1462" s="18"/>
      <c r="H1462" s="17" t="s">
        <v>402</v>
      </c>
      <c r="I1462" s="8"/>
      <c r="J1462" s="8"/>
      <c r="K1462" s="8"/>
      <c r="L1462" s="8"/>
      <c r="M1462" s="8"/>
      <c r="N1462" s="8"/>
      <c r="O1462" s="18"/>
      <c r="P1462" s="100" t="s">
        <v>401</v>
      </c>
      <c r="Q1462" s="104"/>
      <c r="R1462" s="51"/>
      <c r="Y1462" s="55"/>
      <c r="BB1462" t="s">
        <v>417</v>
      </c>
    </row>
    <row r="1463" spans="3:54" hidden="1" x14ac:dyDescent="0.3">
      <c r="C1463" s="17"/>
      <c r="D1463" s="8"/>
      <c r="E1463" s="8"/>
      <c r="F1463" s="18"/>
      <c r="H1463" s="17" t="s">
        <v>286</v>
      </c>
      <c r="I1463" s="8"/>
      <c r="J1463" s="8"/>
      <c r="K1463" s="8"/>
      <c r="L1463" s="8"/>
      <c r="M1463" s="8"/>
      <c r="N1463" s="8"/>
      <c r="O1463" s="18"/>
      <c r="P1463" s="100" t="s">
        <v>398</v>
      </c>
      <c r="Q1463" s="104"/>
      <c r="R1463" s="51"/>
      <c r="Y1463" s="55"/>
      <c r="BB1463" t="s">
        <v>418</v>
      </c>
    </row>
    <row r="1464" spans="3:54" hidden="1" x14ac:dyDescent="0.3">
      <c r="C1464" s="17"/>
      <c r="D1464" s="8"/>
      <c r="E1464" s="8"/>
      <c r="F1464" s="18"/>
      <c r="H1464" s="17" t="s">
        <v>287</v>
      </c>
      <c r="I1464" s="8"/>
      <c r="J1464" s="8"/>
      <c r="K1464" s="8"/>
      <c r="L1464" s="8"/>
      <c r="M1464" s="8"/>
      <c r="N1464" s="8"/>
      <c r="O1464" s="18"/>
      <c r="P1464" s="100" t="s">
        <v>401</v>
      </c>
      <c r="Q1464" s="104"/>
      <c r="R1464" s="51"/>
      <c r="Y1464" s="55"/>
    </row>
    <row r="1465" spans="3:54" ht="15.6" hidden="1" x14ac:dyDescent="0.3">
      <c r="C1465" s="25"/>
      <c r="D1465" s="8"/>
      <c r="E1465" s="8"/>
      <c r="F1465" s="18"/>
      <c r="H1465" s="17" t="s">
        <v>288</v>
      </c>
      <c r="I1465" s="8"/>
      <c r="J1465" s="8"/>
      <c r="K1465" s="8"/>
      <c r="L1465" s="8"/>
      <c r="M1465" s="8"/>
      <c r="N1465" s="8"/>
      <c r="O1465" s="18"/>
      <c r="P1465" s="100" t="s">
        <v>401</v>
      </c>
      <c r="Q1465" s="104"/>
      <c r="R1465" s="51"/>
      <c r="Y1465" s="55"/>
      <c r="BB1465" t="s">
        <v>419</v>
      </c>
    </row>
    <row r="1466" spans="3:54" hidden="1" x14ac:dyDescent="0.3">
      <c r="C1466" s="17"/>
      <c r="D1466" s="8"/>
      <c r="E1466" s="8"/>
      <c r="F1466" s="18"/>
      <c r="H1466" s="17" t="s">
        <v>289</v>
      </c>
      <c r="I1466" s="8"/>
      <c r="J1466" s="8"/>
      <c r="K1466" s="8"/>
      <c r="L1466" s="8"/>
      <c r="M1466" s="8"/>
      <c r="N1466" s="8"/>
      <c r="O1466" s="18"/>
      <c r="P1466" s="107">
        <v>1</v>
      </c>
      <c r="Q1466" s="100"/>
      <c r="R1466" s="51"/>
      <c r="Y1466" s="55"/>
      <c r="BB1466" t="s">
        <v>420</v>
      </c>
    </row>
    <row r="1467" spans="3:54" hidden="1" x14ac:dyDescent="0.3">
      <c r="C1467" s="17"/>
      <c r="D1467" s="8"/>
      <c r="E1467" s="8"/>
      <c r="F1467" s="18"/>
      <c r="H1467" s="17" t="s">
        <v>290</v>
      </c>
      <c r="I1467" s="8"/>
      <c r="J1467" s="8"/>
      <c r="K1467" s="8"/>
      <c r="L1467" s="8"/>
      <c r="M1467" s="8"/>
      <c r="N1467" s="8"/>
      <c r="O1467" s="18"/>
      <c r="P1467" s="107">
        <v>0</v>
      </c>
      <c r="Q1467" s="100"/>
      <c r="R1467" s="51"/>
      <c r="Y1467" s="55"/>
    </row>
    <row r="1468" spans="3:54" ht="15.6" hidden="1" x14ac:dyDescent="0.3">
      <c r="C1468" s="25"/>
      <c r="D1468" s="8"/>
      <c r="E1468" s="8"/>
      <c r="F1468" s="18"/>
      <c r="H1468" s="17" t="s">
        <v>291</v>
      </c>
      <c r="I1468" s="8"/>
      <c r="J1468" s="8"/>
      <c r="K1468" s="8"/>
      <c r="L1468" s="8"/>
      <c r="M1468" s="8"/>
      <c r="N1468" s="8"/>
      <c r="O1468" s="18"/>
      <c r="P1468" s="117">
        <v>1</v>
      </c>
      <c r="Q1468" s="118"/>
      <c r="R1468" s="51"/>
      <c r="Y1468" s="55"/>
    </row>
    <row r="1469" spans="3:54" hidden="1" x14ac:dyDescent="0.3">
      <c r="C1469" s="17"/>
      <c r="D1469" s="8"/>
      <c r="E1469" s="8"/>
      <c r="F1469" s="18"/>
      <c r="H1469" s="17" t="s">
        <v>292</v>
      </c>
      <c r="I1469" s="8"/>
      <c r="J1469" s="8"/>
      <c r="K1469" s="8"/>
      <c r="L1469" s="8"/>
      <c r="M1469" s="8"/>
      <c r="N1469" s="8"/>
      <c r="O1469" s="18"/>
      <c r="P1469" s="107">
        <v>1</v>
      </c>
      <c r="Q1469" s="100"/>
      <c r="R1469" s="56"/>
      <c r="S1469" s="57"/>
      <c r="T1469" s="57"/>
      <c r="U1469" s="57"/>
      <c r="V1469" s="57"/>
      <c r="W1469" s="57"/>
      <c r="X1469" s="57"/>
      <c r="Y1469" s="58"/>
    </row>
    <row r="1470" spans="3:54" hidden="1" x14ac:dyDescent="0.3">
      <c r="C1470" s="24"/>
      <c r="D1470" s="21"/>
      <c r="E1470" s="21"/>
      <c r="F1470" s="22"/>
      <c r="H1470" s="24"/>
      <c r="I1470" s="21"/>
      <c r="J1470" s="21"/>
      <c r="K1470" s="21"/>
      <c r="L1470" s="21"/>
      <c r="M1470" s="21"/>
      <c r="N1470" s="21"/>
      <c r="O1470" s="22"/>
      <c r="P1470" s="105"/>
      <c r="Q1470" s="106"/>
    </row>
    <row r="1471" spans="3:54" hidden="1" x14ac:dyDescent="0.3"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</row>
    <row r="1472" spans="3:54" ht="15.6" hidden="1" x14ac:dyDescent="0.3">
      <c r="C1472" s="28"/>
      <c r="D1472" s="14"/>
      <c r="E1472" s="14"/>
      <c r="F1472" s="16"/>
      <c r="H1472" s="15"/>
      <c r="I1472" s="14"/>
      <c r="J1472" s="14"/>
      <c r="K1472" s="14"/>
      <c r="L1472" s="14"/>
      <c r="M1472" s="14"/>
      <c r="N1472" s="14"/>
      <c r="O1472" s="16"/>
      <c r="P1472" s="105"/>
      <c r="Q1472" s="106"/>
    </row>
    <row r="1473" spans="3:25" hidden="1" x14ac:dyDescent="0.3">
      <c r="C1473" s="24" t="s">
        <v>293</v>
      </c>
      <c r="D1473" s="21"/>
      <c r="E1473" s="21"/>
      <c r="F1473" s="22"/>
      <c r="H1473" s="24" t="s">
        <v>294</v>
      </c>
      <c r="I1473" s="21"/>
      <c r="J1473" s="21"/>
      <c r="K1473" s="21"/>
      <c r="L1473" s="21"/>
      <c r="M1473" s="21"/>
      <c r="N1473" s="21"/>
      <c r="O1473" s="22"/>
      <c r="P1473" s="100">
        <v>1</v>
      </c>
      <c r="Q1473" s="101"/>
      <c r="R1473" s="7"/>
      <c r="S1473" s="59"/>
      <c r="T1473" s="59"/>
      <c r="U1473" s="59"/>
      <c r="V1473" s="59"/>
      <c r="W1473" s="59"/>
      <c r="X1473" s="59"/>
      <c r="Y1473" s="60"/>
    </row>
    <row r="1474" spans="3:25" hidden="1" x14ac:dyDescent="0.3"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</row>
    <row r="1475" spans="3:25" hidden="1" x14ac:dyDescent="0.3">
      <c r="C1475" s="15"/>
      <c r="D1475" s="14"/>
      <c r="E1475" s="14"/>
      <c r="F1475" s="16"/>
      <c r="H1475" s="15"/>
      <c r="I1475" s="14"/>
      <c r="J1475" s="14"/>
      <c r="K1475" s="14"/>
      <c r="L1475" s="14"/>
      <c r="M1475" s="14"/>
      <c r="N1475" s="14"/>
      <c r="O1475" s="16"/>
      <c r="P1475" s="105"/>
      <c r="Q1475" s="106"/>
    </row>
    <row r="1476" spans="3:25" ht="15.6" hidden="1" x14ac:dyDescent="0.3">
      <c r="C1476" s="29" t="s">
        <v>295</v>
      </c>
      <c r="D1476" s="8"/>
      <c r="E1476" s="8"/>
      <c r="F1476" s="18"/>
      <c r="H1476" s="17" t="s">
        <v>296</v>
      </c>
      <c r="I1476" s="8"/>
      <c r="J1476" s="8"/>
      <c r="K1476" s="8"/>
      <c r="L1476" s="8"/>
      <c r="M1476" s="8"/>
      <c r="N1476" s="8"/>
      <c r="O1476" s="18"/>
      <c r="P1476" s="100">
        <v>0</v>
      </c>
      <c r="Q1476" s="101"/>
      <c r="R1476" s="52"/>
      <c r="S1476" s="53"/>
      <c r="T1476" s="53"/>
      <c r="U1476" s="53"/>
      <c r="V1476" s="53"/>
      <c r="W1476" s="53"/>
      <c r="X1476" s="53"/>
      <c r="Y1476" s="54"/>
    </row>
    <row r="1477" spans="3:25" hidden="1" x14ac:dyDescent="0.3">
      <c r="C1477" s="17"/>
      <c r="D1477" s="8"/>
      <c r="E1477" s="8"/>
      <c r="F1477" s="18"/>
      <c r="H1477" s="17" t="s">
        <v>297</v>
      </c>
      <c r="I1477" s="8"/>
      <c r="J1477" s="8"/>
      <c r="K1477" s="8"/>
      <c r="L1477" s="8"/>
      <c r="M1477" s="8"/>
      <c r="N1477" s="8"/>
      <c r="O1477" s="18"/>
      <c r="P1477" s="100">
        <v>0</v>
      </c>
      <c r="Q1477" s="101"/>
      <c r="R1477" s="51"/>
      <c r="Y1477" s="55"/>
    </row>
    <row r="1478" spans="3:25" ht="15.6" hidden="1" x14ac:dyDescent="0.3">
      <c r="C1478" s="30"/>
      <c r="D1478" s="21"/>
      <c r="E1478" s="21"/>
      <c r="F1478" s="22"/>
      <c r="H1478" s="24" t="s">
        <v>298</v>
      </c>
      <c r="I1478" s="21"/>
      <c r="J1478" s="21"/>
      <c r="K1478" s="21"/>
      <c r="L1478" s="21"/>
      <c r="M1478" s="21"/>
      <c r="N1478" s="21"/>
      <c r="O1478" s="22"/>
      <c r="P1478" s="100">
        <v>1</v>
      </c>
      <c r="Q1478" s="101"/>
      <c r="R1478" s="56"/>
      <c r="S1478" s="57"/>
      <c r="T1478" s="57"/>
      <c r="U1478" s="57"/>
      <c r="V1478" s="57"/>
      <c r="W1478" s="57"/>
      <c r="X1478" s="57"/>
      <c r="Y1478" s="58"/>
    </row>
    <row r="1479" spans="3:25" hidden="1" x14ac:dyDescent="0.3"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</row>
    <row r="1480" spans="3:25" hidden="1" x14ac:dyDescent="0.3">
      <c r="C1480" s="15"/>
      <c r="D1480" s="14"/>
      <c r="E1480" s="14"/>
      <c r="F1480" s="16"/>
      <c r="H1480" s="15"/>
      <c r="I1480" s="14"/>
      <c r="J1480" s="14"/>
      <c r="K1480" s="14"/>
      <c r="L1480" s="14"/>
      <c r="M1480" s="14"/>
      <c r="N1480" s="14"/>
      <c r="O1480" s="16"/>
      <c r="P1480" s="102"/>
      <c r="Q1480" s="103"/>
    </row>
    <row r="1481" spans="3:25" hidden="1" x14ac:dyDescent="0.3">
      <c r="C1481" s="17" t="s">
        <v>299</v>
      </c>
      <c r="D1481" s="8"/>
      <c r="E1481" s="8"/>
      <c r="F1481" s="18"/>
      <c r="H1481" s="17" t="s">
        <v>300</v>
      </c>
      <c r="I1481" s="8"/>
      <c r="J1481" s="8"/>
      <c r="K1481" s="8"/>
      <c r="L1481" s="8"/>
      <c r="M1481" s="8"/>
      <c r="N1481" s="8"/>
      <c r="O1481" s="18"/>
      <c r="P1481" s="100">
        <v>0</v>
      </c>
      <c r="Q1481" s="101"/>
      <c r="R1481" s="52"/>
      <c r="S1481" s="53"/>
      <c r="T1481" s="53"/>
      <c r="U1481" s="53"/>
      <c r="V1481" s="53"/>
      <c r="W1481" s="53"/>
      <c r="X1481" s="53"/>
      <c r="Y1481" s="54"/>
    </row>
    <row r="1482" spans="3:25" ht="15.6" hidden="1" x14ac:dyDescent="0.3">
      <c r="C1482" s="25"/>
      <c r="D1482" s="8"/>
      <c r="E1482" s="8"/>
      <c r="F1482" s="18"/>
      <c r="H1482" s="17" t="s">
        <v>301</v>
      </c>
      <c r="I1482" s="8"/>
      <c r="J1482" s="8"/>
      <c r="K1482" s="8"/>
      <c r="L1482" s="8"/>
      <c r="M1482" s="8"/>
      <c r="N1482" s="8"/>
      <c r="O1482" s="18"/>
      <c r="P1482" s="100">
        <v>1</v>
      </c>
      <c r="Q1482" s="101"/>
      <c r="R1482" s="51"/>
      <c r="Y1482" s="55"/>
    </row>
    <row r="1483" spans="3:25" hidden="1" x14ac:dyDescent="0.3">
      <c r="C1483" s="17"/>
      <c r="D1483" s="8"/>
      <c r="E1483" s="8"/>
      <c r="F1483" s="18"/>
      <c r="H1483" s="17" t="s">
        <v>302</v>
      </c>
      <c r="I1483" s="8"/>
      <c r="J1483" s="8"/>
      <c r="K1483" s="8"/>
      <c r="L1483" s="8"/>
      <c r="M1483" s="8"/>
      <c r="N1483" s="8"/>
      <c r="O1483" s="18"/>
      <c r="P1483" s="100">
        <v>0</v>
      </c>
      <c r="Q1483" s="101"/>
      <c r="R1483" s="51"/>
      <c r="Y1483" s="55"/>
    </row>
    <row r="1484" spans="3:25" hidden="1" x14ac:dyDescent="0.3">
      <c r="C1484" s="17"/>
      <c r="D1484" s="8"/>
      <c r="E1484" s="8"/>
      <c r="F1484" s="18"/>
      <c r="H1484" s="17" t="s">
        <v>303</v>
      </c>
      <c r="I1484" s="8"/>
      <c r="J1484" s="8"/>
      <c r="K1484" s="8"/>
      <c r="L1484" s="8"/>
      <c r="M1484" s="8"/>
      <c r="N1484" s="8"/>
      <c r="O1484" s="18"/>
      <c r="P1484" s="100">
        <v>1</v>
      </c>
      <c r="Q1484" s="101"/>
      <c r="R1484" s="51"/>
      <c r="Y1484" s="55"/>
    </row>
    <row r="1485" spans="3:25" hidden="1" x14ac:dyDescent="0.3">
      <c r="C1485" s="17"/>
      <c r="D1485" s="8"/>
      <c r="E1485" s="8"/>
      <c r="F1485" s="18"/>
      <c r="H1485" s="17" t="s">
        <v>304</v>
      </c>
      <c r="I1485" s="8"/>
      <c r="J1485" s="8"/>
      <c r="K1485" s="8"/>
      <c r="L1485" s="8"/>
      <c r="M1485" s="8"/>
      <c r="N1485" s="8"/>
      <c r="O1485" s="18"/>
      <c r="P1485" s="100">
        <v>1</v>
      </c>
      <c r="Q1485" s="101"/>
      <c r="R1485" s="51"/>
      <c r="Y1485" s="55"/>
    </row>
    <row r="1486" spans="3:25" hidden="1" x14ac:dyDescent="0.3">
      <c r="C1486" s="24"/>
      <c r="D1486" s="21"/>
      <c r="E1486" s="21"/>
      <c r="F1486" s="22"/>
      <c r="H1486" s="24" t="s">
        <v>305</v>
      </c>
      <c r="I1486" s="21"/>
      <c r="J1486" s="21"/>
      <c r="K1486" s="21"/>
      <c r="L1486" s="21"/>
      <c r="M1486" s="21"/>
      <c r="N1486" s="21"/>
      <c r="O1486" s="22"/>
      <c r="P1486" s="100">
        <v>0</v>
      </c>
      <c r="Q1486" s="101"/>
      <c r="R1486" s="56"/>
      <c r="S1486" s="57"/>
      <c r="T1486" s="57"/>
      <c r="U1486" s="57"/>
      <c r="V1486" s="57"/>
      <c r="W1486" s="57"/>
      <c r="X1486" s="57"/>
      <c r="Y1486" s="58"/>
    </row>
    <row r="1487" spans="3:25" hidden="1" x14ac:dyDescent="0.3"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</row>
    <row r="1488" spans="3:25" ht="15.6" hidden="1" x14ac:dyDescent="0.3">
      <c r="C1488" s="31"/>
      <c r="D1488" s="14"/>
      <c r="E1488" s="14"/>
      <c r="F1488" s="16"/>
      <c r="H1488" s="15"/>
      <c r="I1488" s="14"/>
      <c r="J1488" s="14"/>
      <c r="K1488" s="14"/>
      <c r="L1488" s="14"/>
      <c r="M1488" s="14"/>
      <c r="N1488" s="14"/>
      <c r="O1488" s="16"/>
      <c r="P1488" s="105"/>
      <c r="Q1488" s="106"/>
    </row>
    <row r="1489" spans="3:25" hidden="1" x14ac:dyDescent="0.3">
      <c r="C1489" s="17" t="s">
        <v>306</v>
      </c>
      <c r="D1489" s="8"/>
      <c r="E1489" s="8"/>
      <c r="F1489" s="18"/>
      <c r="H1489" s="17" t="s">
        <v>307</v>
      </c>
      <c r="I1489" s="8"/>
      <c r="J1489" s="8"/>
      <c r="K1489" s="8"/>
      <c r="L1489" s="8"/>
      <c r="M1489" s="8"/>
      <c r="N1489" s="8"/>
      <c r="O1489" s="18"/>
      <c r="P1489" s="100">
        <v>0</v>
      </c>
      <c r="Q1489" s="101"/>
      <c r="R1489" s="52"/>
      <c r="S1489" s="53"/>
      <c r="T1489" s="53"/>
      <c r="U1489" s="53"/>
      <c r="V1489" s="53"/>
      <c r="W1489" s="53"/>
      <c r="X1489" s="53"/>
      <c r="Y1489" s="54"/>
    </row>
    <row r="1490" spans="3:25" hidden="1" x14ac:dyDescent="0.3">
      <c r="C1490" s="17"/>
      <c r="D1490" s="8"/>
      <c r="E1490" s="8"/>
      <c r="F1490" s="18"/>
      <c r="H1490" s="17" t="s">
        <v>308</v>
      </c>
      <c r="I1490" s="8"/>
      <c r="J1490" s="8"/>
      <c r="K1490" s="8"/>
      <c r="L1490" s="8"/>
      <c r="M1490" s="8"/>
      <c r="N1490" s="8"/>
      <c r="O1490" s="18"/>
      <c r="P1490" s="100" t="s">
        <v>405</v>
      </c>
      <c r="Q1490" s="101"/>
      <c r="R1490" s="51"/>
      <c r="Y1490" s="55"/>
    </row>
    <row r="1491" spans="3:25" hidden="1" x14ac:dyDescent="0.3">
      <c r="C1491" s="24"/>
      <c r="D1491" s="21"/>
      <c r="E1491" s="21"/>
      <c r="F1491" s="22"/>
      <c r="H1491" s="24" t="s">
        <v>309</v>
      </c>
      <c r="I1491" s="21"/>
      <c r="J1491" s="21"/>
      <c r="K1491" s="21"/>
      <c r="L1491" s="21"/>
      <c r="M1491" s="21"/>
      <c r="N1491" s="21"/>
      <c r="O1491" s="22"/>
      <c r="P1491" s="100" t="s">
        <v>409</v>
      </c>
      <c r="Q1491" s="101"/>
      <c r="R1491" s="56"/>
      <c r="S1491" s="57"/>
      <c r="T1491" s="57"/>
      <c r="U1491" s="57"/>
      <c r="V1491" s="57"/>
      <c r="W1491" s="57"/>
      <c r="X1491" s="57"/>
      <c r="Y1491" s="58"/>
    </row>
    <row r="1492" spans="3:25" ht="15.6" hidden="1" x14ac:dyDescent="0.3">
      <c r="C1492" s="12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</row>
    <row r="1493" spans="3:25" ht="15.6" hidden="1" x14ac:dyDescent="0.3">
      <c r="C1493" s="10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</row>
    <row r="1494" spans="3:25" hidden="1" x14ac:dyDescent="0.3">
      <c r="C1494" s="32"/>
      <c r="D1494" s="33"/>
      <c r="E1494" s="33"/>
      <c r="F1494" s="34"/>
      <c r="H1494" s="32"/>
      <c r="I1494" s="33"/>
      <c r="J1494" s="33"/>
      <c r="K1494" s="33"/>
      <c r="L1494" s="33"/>
      <c r="M1494" s="33"/>
      <c r="N1494" s="33"/>
      <c r="O1494" s="34"/>
      <c r="P1494" s="105"/>
      <c r="Q1494" s="106"/>
    </row>
    <row r="1495" spans="3:25" hidden="1" x14ac:dyDescent="0.3">
      <c r="C1495" s="35" t="s">
        <v>310</v>
      </c>
      <c r="D1495" s="9"/>
      <c r="E1495" s="9"/>
      <c r="F1495" s="36"/>
      <c r="H1495" s="35" t="s">
        <v>311</v>
      </c>
      <c r="I1495" s="9"/>
      <c r="J1495" s="9"/>
      <c r="K1495" s="9"/>
      <c r="L1495" s="9"/>
      <c r="M1495" s="9"/>
      <c r="N1495" s="9"/>
      <c r="O1495" s="36"/>
      <c r="P1495" s="100">
        <v>0</v>
      </c>
      <c r="Q1495" s="101"/>
      <c r="R1495" s="52"/>
      <c r="S1495" s="53"/>
      <c r="T1495" s="53"/>
      <c r="U1495" s="53"/>
      <c r="V1495" s="53"/>
      <c r="W1495" s="53"/>
      <c r="X1495" s="53"/>
      <c r="Y1495" s="54"/>
    </row>
    <row r="1496" spans="3:25" hidden="1" x14ac:dyDescent="0.3">
      <c r="C1496" s="35"/>
      <c r="D1496" s="9"/>
      <c r="E1496" s="9"/>
      <c r="F1496" s="36"/>
      <c r="H1496" s="35" t="s">
        <v>312</v>
      </c>
      <c r="I1496" s="9"/>
      <c r="J1496" s="9"/>
      <c r="K1496" s="9"/>
      <c r="L1496" s="9"/>
      <c r="M1496" s="9"/>
      <c r="N1496" s="9"/>
      <c r="O1496" s="36"/>
      <c r="P1496" s="100">
        <v>1</v>
      </c>
      <c r="Q1496" s="101"/>
      <c r="R1496" s="51"/>
      <c r="Y1496" s="55"/>
    </row>
    <row r="1497" spans="3:25" ht="15.6" hidden="1" x14ac:dyDescent="0.3">
      <c r="C1497" s="37"/>
      <c r="D1497" s="9"/>
      <c r="E1497" s="9"/>
      <c r="F1497" s="36"/>
      <c r="H1497" s="35" t="s">
        <v>313</v>
      </c>
      <c r="I1497" s="9"/>
      <c r="J1497" s="9"/>
      <c r="K1497" s="9"/>
      <c r="L1497" s="9"/>
      <c r="M1497" s="9"/>
      <c r="N1497" s="9"/>
      <c r="O1497" s="36"/>
      <c r="P1497" s="100" t="s">
        <v>401</v>
      </c>
      <c r="Q1497" s="101"/>
      <c r="R1497" s="51"/>
      <c r="Y1497" s="55"/>
    </row>
    <row r="1498" spans="3:25" hidden="1" x14ac:dyDescent="0.3">
      <c r="C1498" s="38"/>
      <c r="D1498" s="39"/>
      <c r="E1498" s="39"/>
      <c r="F1498" s="40"/>
      <c r="H1498" s="38" t="s">
        <v>314</v>
      </c>
      <c r="I1498" s="39"/>
      <c r="J1498" s="39"/>
      <c r="K1498" s="39"/>
      <c r="L1498" s="39"/>
      <c r="M1498" s="39"/>
      <c r="N1498" s="39"/>
      <c r="O1498" s="40"/>
      <c r="P1498" s="100" t="s">
        <v>401</v>
      </c>
      <c r="Q1498" s="101"/>
      <c r="R1498" s="56"/>
      <c r="S1498" s="57"/>
      <c r="T1498" s="57"/>
      <c r="U1498" s="57"/>
      <c r="V1498" s="57"/>
      <c r="W1498" s="57"/>
      <c r="X1498" s="57"/>
      <c r="Y1498" s="58"/>
    </row>
    <row r="1499" spans="3:25" hidden="1" x14ac:dyDescent="0.3"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</row>
    <row r="1500" spans="3:25" hidden="1" x14ac:dyDescent="0.3">
      <c r="C1500" s="32"/>
      <c r="D1500" s="33"/>
      <c r="E1500" s="33"/>
      <c r="F1500" s="34"/>
      <c r="H1500" s="32"/>
      <c r="I1500" s="33"/>
      <c r="J1500" s="33"/>
      <c r="K1500" s="33"/>
      <c r="L1500" s="33"/>
      <c r="M1500" s="33"/>
      <c r="N1500" s="33"/>
      <c r="O1500" s="34"/>
      <c r="P1500" s="105"/>
      <c r="Q1500" s="106"/>
    </row>
    <row r="1501" spans="3:25" hidden="1" x14ac:dyDescent="0.3">
      <c r="C1501" s="35" t="s">
        <v>315</v>
      </c>
      <c r="D1501" s="9"/>
      <c r="E1501" s="9"/>
      <c r="F1501" s="36"/>
      <c r="H1501" s="35" t="s">
        <v>316</v>
      </c>
      <c r="I1501" s="9"/>
      <c r="J1501" s="9"/>
      <c r="K1501" s="9"/>
      <c r="L1501" s="9"/>
      <c r="M1501" s="9"/>
      <c r="N1501" s="9"/>
      <c r="O1501" s="36"/>
      <c r="P1501" s="100">
        <v>1</v>
      </c>
      <c r="Q1501" s="101"/>
      <c r="R1501" s="52"/>
      <c r="S1501" s="53"/>
      <c r="T1501" s="53"/>
      <c r="U1501" s="53"/>
      <c r="V1501" s="53"/>
      <c r="W1501" s="53"/>
      <c r="X1501" s="53"/>
      <c r="Y1501" s="54"/>
    </row>
    <row r="1502" spans="3:25" hidden="1" x14ac:dyDescent="0.3">
      <c r="C1502" s="35"/>
      <c r="D1502" s="9"/>
      <c r="E1502" s="9"/>
      <c r="F1502" s="36"/>
      <c r="H1502" s="35" t="s">
        <v>312</v>
      </c>
      <c r="I1502" s="9"/>
      <c r="J1502" s="9"/>
      <c r="K1502" s="9"/>
      <c r="L1502" s="9"/>
      <c r="M1502" s="9"/>
      <c r="N1502" s="9"/>
      <c r="O1502" s="36"/>
      <c r="P1502" s="111" t="s">
        <v>410</v>
      </c>
      <c r="Q1502" s="111"/>
      <c r="R1502" s="51"/>
      <c r="Y1502" s="55"/>
    </row>
    <row r="1503" spans="3:25" ht="15.6" hidden="1" x14ac:dyDescent="0.3">
      <c r="C1503" s="41"/>
      <c r="D1503" s="9"/>
      <c r="E1503" s="9"/>
      <c r="F1503" s="36"/>
      <c r="H1503" s="35" t="s">
        <v>317</v>
      </c>
      <c r="I1503" s="9"/>
      <c r="J1503" s="9"/>
      <c r="K1503" s="9"/>
      <c r="L1503" s="9"/>
      <c r="M1503" s="9"/>
      <c r="N1503" s="9"/>
      <c r="O1503" s="36"/>
      <c r="P1503" s="100" t="s">
        <v>401</v>
      </c>
      <c r="Q1503" s="101"/>
      <c r="R1503" s="51"/>
      <c r="Y1503" s="55"/>
    </row>
    <row r="1504" spans="3:25" hidden="1" x14ac:dyDescent="0.3">
      <c r="C1504" s="38"/>
      <c r="D1504" s="39"/>
      <c r="E1504" s="39"/>
      <c r="F1504" s="40"/>
      <c r="H1504" s="38" t="s">
        <v>318</v>
      </c>
      <c r="I1504" s="39"/>
      <c r="J1504" s="39"/>
      <c r="K1504" s="39"/>
      <c r="L1504" s="39"/>
      <c r="M1504" s="39"/>
      <c r="N1504" s="39"/>
      <c r="O1504" s="40"/>
      <c r="P1504" s="100">
        <v>1</v>
      </c>
      <c r="Q1504" s="101"/>
      <c r="R1504" s="56"/>
      <c r="S1504" s="57"/>
      <c r="T1504" s="57"/>
      <c r="U1504" s="57"/>
      <c r="V1504" s="57"/>
      <c r="W1504" s="57"/>
      <c r="X1504" s="57"/>
      <c r="Y1504" s="58"/>
    </row>
    <row r="1505" spans="3:25" hidden="1" x14ac:dyDescent="0.3"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</row>
    <row r="1506" spans="3:25" hidden="1" x14ac:dyDescent="0.3">
      <c r="C1506" s="32"/>
      <c r="D1506" s="33"/>
      <c r="E1506" s="33"/>
      <c r="F1506" s="34"/>
      <c r="H1506" s="32"/>
      <c r="I1506" s="33"/>
      <c r="J1506" s="33"/>
      <c r="K1506" s="33"/>
      <c r="L1506" s="33"/>
      <c r="M1506" s="33"/>
      <c r="N1506" s="33"/>
      <c r="O1506" s="34"/>
      <c r="P1506" s="105"/>
      <c r="Q1506" s="106"/>
    </row>
    <row r="1507" spans="3:25" hidden="1" x14ac:dyDescent="0.3">
      <c r="C1507" s="35" t="s">
        <v>319</v>
      </c>
      <c r="D1507" s="9"/>
      <c r="E1507" s="9"/>
      <c r="F1507" s="36"/>
      <c r="H1507" s="35" t="s">
        <v>320</v>
      </c>
      <c r="I1507" s="9"/>
      <c r="J1507" s="9"/>
      <c r="K1507" s="9"/>
      <c r="L1507" s="9"/>
      <c r="M1507" s="9"/>
      <c r="N1507" s="9"/>
      <c r="O1507" s="36"/>
      <c r="P1507" s="100" t="s">
        <v>398</v>
      </c>
      <c r="Q1507" s="101"/>
      <c r="R1507" s="52"/>
      <c r="S1507" s="53"/>
      <c r="T1507" s="53"/>
      <c r="U1507" s="53"/>
      <c r="V1507" s="53"/>
      <c r="W1507" s="53"/>
      <c r="X1507" s="53"/>
      <c r="Y1507" s="54"/>
    </row>
    <row r="1508" spans="3:25" hidden="1" x14ac:dyDescent="0.3">
      <c r="C1508" s="38"/>
      <c r="D1508" s="39"/>
      <c r="E1508" s="39"/>
      <c r="F1508" s="40"/>
      <c r="H1508" s="38" t="s">
        <v>321</v>
      </c>
      <c r="I1508" s="39"/>
      <c r="J1508" s="39"/>
      <c r="K1508" s="39"/>
      <c r="L1508" s="39"/>
      <c r="M1508" s="39"/>
      <c r="N1508" s="39"/>
      <c r="O1508" s="40"/>
      <c r="P1508" s="100">
        <v>0</v>
      </c>
      <c r="Q1508" s="101"/>
      <c r="R1508" s="56"/>
      <c r="S1508" s="57"/>
      <c r="T1508" s="57"/>
      <c r="U1508" s="57"/>
      <c r="V1508" s="57"/>
      <c r="W1508" s="57"/>
      <c r="X1508" s="57"/>
      <c r="Y1508" s="58"/>
    </row>
    <row r="1509" spans="3:25" ht="15.6" hidden="1" x14ac:dyDescent="0.3">
      <c r="C1509" s="12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</row>
    <row r="1510" spans="3:25" hidden="1" x14ac:dyDescent="0.3">
      <c r="C1510" s="32"/>
      <c r="D1510" s="33"/>
      <c r="E1510" s="33"/>
      <c r="F1510" s="34"/>
      <c r="H1510" s="32"/>
      <c r="I1510" s="33"/>
      <c r="J1510" s="33"/>
      <c r="K1510" s="33"/>
      <c r="L1510" s="33"/>
      <c r="M1510" s="33"/>
      <c r="N1510" s="33"/>
      <c r="O1510" s="34"/>
      <c r="P1510" s="105"/>
      <c r="Q1510" s="106"/>
    </row>
    <row r="1511" spans="3:25" hidden="1" x14ac:dyDescent="0.3">
      <c r="C1511" s="35" t="s">
        <v>322</v>
      </c>
      <c r="D1511" s="9"/>
      <c r="E1511" s="9"/>
      <c r="F1511" s="36"/>
      <c r="H1511" s="35" t="s">
        <v>323</v>
      </c>
      <c r="I1511" s="9"/>
      <c r="J1511" s="9"/>
      <c r="K1511" s="9"/>
      <c r="L1511" s="9"/>
      <c r="M1511" s="9"/>
      <c r="N1511" s="9"/>
      <c r="O1511" s="36"/>
      <c r="P1511" s="100" t="s">
        <v>410</v>
      </c>
      <c r="Q1511" s="101"/>
      <c r="R1511" s="52"/>
      <c r="S1511" s="53"/>
      <c r="T1511" s="53"/>
      <c r="U1511" s="53"/>
      <c r="V1511" s="53"/>
      <c r="W1511" s="53"/>
      <c r="X1511" s="53"/>
      <c r="Y1511" s="54"/>
    </row>
    <row r="1512" spans="3:25" hidden="1" x14ac:dyDescent="0.3">
      <c r="C1512" s="35"/>
      <c r="D1512" s="9"/>
      <c r="E1512" s="9"/>
      <c r="F1512" s="36"/>
      <c r="H1512" s="35" t="s">
        <v>324</v>
      </c>
      <c r="I1512" s="9"/>
      <c r="J1512" s="9"/>
      <c r="K1512" s="9"/>
      <c r="L1512" s="9"/>
      <c r="M1512" s="9"/>
      <c r="N1512" s="9"/>
      <c r="O1512" s="36"/>
      <c r="P1512" s="100" t="s">
        <v>412</v>
      </c>
      <c r="Q1512" s="101"/>
      <c r="R1512" s="51"/>
      <c r="Y1512" s="55"/>
    </row>
    <row r="1513" spans="3:25" hidden="1" x14ac:dyDescent="0.3">
      <c r="C1513" s="35"/>
      <c r="D1513" s="9"/>
      <c r="E1513" s="9"/>
      <c r="F1513" s="36"/>
      <c r="H1513" s="35" t="s">
        <v>325</v>
      </c>
      <c r="I1513" s="9"/>
      <c r="J1513" s="9"/>
      <c r="K1513" s="9"/>
      <c r="L1513" s="9"/>
      <c r="M1513" s="9"/>
      <c r="N1513" s="9"/>
      <c r="O1513" s="36"/>
      <c r="P1513" s="100" t="s">
        <v>409</v>
      </c>
      <c r="Q1513" s="101"/>
      <c r="R1513" s="51"/>
      <c r="Y1513" s="55"/>
    </row>
    <row r="1514" spans="3:25" hidden="1" x14ac:dyDescent="0.3">
      <c r="C1514" s="38"/>
      <c r="D1514" s="39"/>
      <c r="E1514" s="39"/>
      <c r="F1514" s="40"/>
      <c r="H1514" s="38" t="s">
        <v>326</v>
      </c>
      <c r="I1514" s="39"/>
      <c r="J1514" s="39"/>
      <c r="K1514" s="39"/>
      <c r="L1514" s="39"/>
      <c r="M1514" s="39"/>
      <c r="N1514" s="39"/>
      <c r="O1514" s="40"/>
      <c r="P1514" s="100" t="s">
        <v>411</v>
      </c>
      <c r="Q1514" s="101"/>
      <c r="R1514" s="56"/>
      <c r="S1514" s="57"/>
      <c r="T1514" s="57"/>
      <c r="U1514" s="57"/>
      <c r="V1514" s="57"/>
      <c r="W1514" s="57"/>
      <c r="X1514" s="57"/>
      <c r="Y1514" s="58"/>
    </row>
    <row r="1515" spans="3:25" ht="15.6" hidden="1" x14ac:dyDescent="0.3">
      <c r="C1515" s="10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</row>
    <row r="1516" spans="3:25" hidden="1" x14ac:dyDescent="0.3">
      <c r="C1516" s="32"/>
      <c r="D1516" s="33"/>
      <c r="E1516" s="33"/>
      <c r="F1516" s="34"/>
      <c r="H1516" s="32"/>
      <c r="I1516" s="33"/>
      <c r="J1516" s="33"/>
      <c r="K1516" s="33"/>
      <c r="L1516" s="33"/>
      <c r="M1516" s="33"/>
      <c r="N1516" s="33"/>
      <c r="O1516" s="34"/>
      <c r="P1516" s="102"/>
      <c r="Q1516" s="103"/>
    </row>
    <row r="1517" spans="3:25" hidden="1" x14ac:dyDescent="0.3">
      <c r="C1517" s="35" t="s">
        <v>327</v>
      </c>
      <c r="D1517" s="9"/>
      <c r="E1517" s="9"/>
      <c r="F1517" s="36"/>
      <c r="H1517" s="35" t="s">
        <v>328</v>
      </c>
      <c r="I1517" s="9"/>
      <c r="J1517" s="9"/>
      <c r="K1517" s="9"/>
      <c r="L1517" s="9"/>
      <c r="M1517" s="9"/>
      <c r="N1517" s="9"/>
      <c r="O1517" s="36"/>
      <c r="P1517" s="100">
        <v>0</v>
      </c>
      <c r="Q1517" s="101"/>
      <c r="R1517" s="52"/>
      <c r="S1517" s="53"/>
      <c r="T1517" s="53"/>
      <c r="U1517" s="53"/>
      <c r="V1517" s="53"/>
      <c r="W1517" s="53"/>
      <c r="X1517" s="53"/>
      <c r="Y1517" s="54"/>
    </row>
    <row r="1518" spans="3:25" hidden="1" x14ac:dyDescent="0.3">
      <c r="C1518" s="35"/>
      <c r="D1518" s="9"/>
      <c r="E1518" s="9"/>
      <c r="F1518" s="36"/>
      <c r="H1518" s="35" t="s">
        <v>329</v>
      </c>
      <c r="I1518" s="9"/>
      <c r="J1518" s="9"/>
      <c r="K1518" s="9"/>
      <c r="L1518" s="9"/>
      <c r="M1518" s="9"/>
      <c r="N1518" s="9"/>
      <c r="O1518" s="36"/>
      <c r="P1518" s="107">
        <v>1</v>
      </c>
      <c r="Q1518" s="107"/>
      <c r="R1518" s="51"/>
      <c r="Y1518" s="55"/>
    </row>
    <row r="1519" spans="3:25" hidden="1" x14ac:dyDescent="0.3">
      <c r="C1519" s="35"/>
      <c r="D1519" s="9"/>
      <c r="E1519" s="9"/>
      <c r="F1519" s="36"/>
      <c r="H1519" s="35" t="s">
        <v>330</v>
      </c>
      <c r="I1519" s="9"/>
      <c r="J1519" s="9"/>
      <c r="K1519" s="9"/>
      <c r="L1519" s="9"/>
      <c r="M1519" s="9"/>
      <c r="N1519" s="9"/>
      <c r="O1519" s="36"/>
      <c r="P1519" s="107">
        <v>0</v>
      </c>
      <c r="Q1519" s="107"/>
      <c r="R1519" s="51"/>
      <c r="Y1519" s="55"/>
    </row>
    <row r="1520" spans="3:25" ht="15.6" hidden="1" x14ac:dyDescent="0.3">
      <c r="C1520" s="41"/>
      <c r="D1520" s="9"/>
      <c r="E1520" s="9"/>
      <c r="F1520" s="36"/>
      <c r="H1520" s="35" t="s">
        <v>331</v>
      </c>
      <c r="I1520" s="9"/>
      <c r="J1520" s="9"/>
      <c r="K1520" s="9"/>
      <c r="L1520" s="9"/>
      <c r="M1520" s="9"/>
      <c r="N1520" s="9"/>
      <c r="O1520" s="36"/>
      <c r="P1520" s="107">
        <v>1</v>
      </c>
      <c r="Q1520" s="107"/>
      <c r="R1520" s="51"/>
      <c r="Y1520" s="55"/>
    </row>
    <row r="1521" spans="3:25" hidden="1" x14ac:dyDescent="0.3">
      <c r="C1521" s="35"/>
      <c r="D1521" s="9"/>
      <c r="E1521" s="9"/>
      <c r="F1521" s="36"/>
      <c r="H1521" s="35" t="s">
        <v>332</v>
      </c>
      <c r="I1521" s="9"/>
      <c r="J1521" s="9"/>
      <c r="K1521" s="9"/>
      <c r="L1521" s="9"/>
      <c r="M1521" s="9"/>
      <c r="N1521" s="9"/>
      <c r="O1521" s="36"/>
      <c r="P1521" s="107">
        <v>0</v>
      </c>
      <c r="Q1521" s="107"/>
      <c r="R1521" s="51"/>
      <c r="Y1521" s="55"/>
    </row>
    <row r="1522" spans="3:25" hidden="1" x14ac:dyDescent="0.3">
      <c r="C1522" s="38"/>
      <c r="D1522" s="39"/>
      <c r="E1522" s="39"/>
      <c r="F1522" s="40"/>
      <c r="H1522" s="38" t="s">
        <v>333</v>
      </c>
      <c r="I1522" s="39"/>
      <c r="J1522" s="39"/>
      <c r="K1522" s="39"/>
      <c r="L1522" s="39"/>
      <c r="M1522" s="39"/>
      <c r="N1522" s="39"/>
      <c r="O1522" s="40"/>
      <c r="P1522" s="107">
        <v>0</v>
      </c>
      <c r="Q1522" s="107"/>
      <c r="R1522" s="56"/>
      <c r="S1522" s="57"/>
      <c r="T1522" s="57"/>
      <c r="U1522" s="57"/>
      <c r="V1522" s="57"/>
      <c r="W1522" s="57"/>
      <c r="X1522" s="57"/>
      <c r="Y1522" s="58"/>
    </row>
    <row r="1523" spans="3:25" hidden="1" x14ac:dyDescent="0.3"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</row>
    <row r="1524" spans="3:25" hidden="1" x14ac:dyDescent="0.3">
      <c r="C1524" s="32"/>
      <c r="D1524" s="33"/>
      <c r="E1524" s="33"/>
      <c r="F1524" s="34"/>
      <c r="H1524" s="32"/>
      <c r="I1524" s="33"/>
      <c r="J1524" s="33"/>
      <c r="K1524" s="33"/>
      <c r="L1524" s="33"/>
      <c r="M1524" s="33"/>
      <c r="N1524" s="33"/>
      <c r="O1524" s="34"/>
      <c r="P1524" s="110"/>
      <c r="Q1524" s="102"/>
    </row>
    <row r="1525" spans="3:25" hidden="1" x14ac:dyDescent="0.3">
      <c r="C1525" s="35" t="s">
        <v>334</v>
      </c>
      <c r="D1525" s="9"/>
      <c r="E1525" s="9"/>
      <c r="F1525" s="36"/>
      <c r="H1525" s="35" t="s">
        <v>335</v>
      </c>
      <c r="I1525" s="9"/>
      <c r="J1525" s="9"/>
      <c r="K1525" s="9"/>
      <c r="L1525" s="9"/>
      <c r="M1525" s="9"/>
      <c r="N1525" s="9"/>
      <c r="O1525" s="36"/>
      <c r="P1525" s="107">
        <v>1</v>
      </c>
      <c r="Q1525" s="107"/>
      <c r="R1525" s="52"/>
      <c r="S1525" s="53"/>
      <c r="T1525" s="53"/>
      <c r="U1525" s="53"/>
      <c r="V1525" s="53"/>
      <c r="W1525" s="53"/>
      <c r="X1525" s="53"/>
      <c r="Y1525" s="54"/>
    </row>
    <row r="1526" spans="3:25" ht="15.6" hidden="1" x14ac:dyDescent="0.3">
      <c r="C1526" s="41"/>
      <c r="D1526" s="9"/>
      <c r="E1526" s="9"/>
      <c r="F1526" s="36"/>
      <c r="H1526" s="35" t="s">
        <v>336</v>
      </c>
      <c r="I1526" s="9"/>
      <c r="J1526" s="9"/>
      <c r="K1526" s="9"/>
      <c r="L1526" s="9"/>
      <c r="M1526" s="9"/>
      <c r="N1526" s="9"/>
      <c r="O1526" s="36"/>
      <c r="P1526" s="107">
        <v>0</v>
      </c>
      <c r="Q1526" s="107"/>
      <c r="R1526" s="51"/>
      <c r="Y1526" s="55"/>
    </row>
    <row r="1527" spans="3:25" hidden="1" x14ac:dyDescent="0.3">
      <c r="C1527" s="35"/>
      <c r="D1527" s="9"/>
      <c r="E1527" s="9"/>
      <c r="F1527" s="36"/>
      <c r="H1527" s="35" t="s">
        <v>337</v>
      </c>
      <c r="I1527" s="9"/>
      <c r="J1527" s="9"/>
      <c r="K1527" s="9"/>
      <c r="L1527" s="9"/>
      <c r="M1527" s="9"/>
      <c r="N1527" s="9"/>
      <c r="O1527" s="36"/>
      <c r="P1527" s="107">
        <v>1</v>
      </c>
      <c r="Q1527" s="107"/>
      <c r="R1527" s="51"/>
      <c r="Y1527" s="55"/>
    </row>
    <row r="1528" spans="3:25" hidden="1" x14ac:dyDescent="0.3">
      <c r="C1528" s="38"/>
      <c r="D1528" s="39"/>
      <c r="E1528" s="39"/>
      <c r="F1528" s="40"/>
      <c r="H1528" s="38" t="s">
        <v>338</v>
      </c>
      <c r="I1528" s="39"/>
      <c r="J1528" s="39"/>
      <c r="K1528" s="39"/>
      <c r="L1528" s="39"/>
      <c r="M1528" s="39"/>
      <c r="N1528" s="39"/>
      <c r="O1528" s="40"/>
      <c r="P1528" s="107" t="s">
        <v>398</v>
      </c>
      <c r="Q1528" s="107"/>
      <c r="R1528" s="56"/>
      <c r="S1528" s="57"/>
      <c r="T1528" s="57"/>
      <c r="U1528" s="57"/>
      <c r="V1528" s="57"/>
      <c r="W1528" s="57"/>
      <c r="X1528" s="57"/>
      <c r="Y1528" s="58"/>
    </row>
    <row r="1529" spans="3:25" ht="15.6" hidden="1" x14ac:dyDescent="0.3">
      <c r="C1529" s="10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</row>
    <row r="1530" spans="3:25" hidden="1" x14ac:dyDescent="0.3">
      <c r="C1530" s="32"/>
      <c r="D1530" s="33"/>
      <c r="E1530" s="33"/>
      <c r="F1530" s="34"/>
      <c r="H1530" s="32"/>
      <c r="I1530" s="33"/>
      <c r="J1530" s="33"/>
      <c r="K1530" s="33"/>
      <c r="L1530" s="33"/>
      <c r="M1530" s="33"/>
      <c r="N1530" s="33"/>
      <c r="O1530" s="34"/>
      <c r="P1530" s="110"/>
      <c r="Q1530" s="102"/>
    </row>
    <row r="1531" spans="3:25" ht="15.6" hidden="1" x14ac:dyDescent="0.3">
      <c r="C1531" s="42" t="s">
        <v>339</v>
      </c>
      <c r="D1531" s="39"/>
      <c r="E1531" s="39"/>
      <c r="F1531" s="40"/>
      <c r="H1531" s="38" t="s">
        <v>340</v>
      </c>
      <c r="I1531" s="39"/>
      <c r="J1531" s="39"/>
      <c r="K1531" s="39"/>
      <c r="L1531" s="39"/>
      <c r="M1531" s="39"/>
      <c r="N1531" s="39"/>
      <c r="O1531" s="40"/>
      <c r="P1531" s="107">
        <v>1</v>
      </c>
      <c r="Q1531" s="107"/>
      <c r="R1531" s="7"/>
      <c r="S1531" s="59"/>
      <c r="T1531" s="59"/>
      <c r="U1531" s="59"/>
      <c r="V1531" s="59"/>
      <c r="W1531" s="59"/>
      <c r="X1531" s="59"/>
      <c r="Y1531" s="60"/>
    </row>
    <row r="1532" spans="3:25" hidden="1" x14ac:dyDescent="0.3"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</row>
    <row r="1533" spans="3:25" hidden="1" x14ac:dyDescent="0.3">
      <c r="C1533" s="32"/>
      <c r="D1533" s="33"/>
      <c r="E1533" s="33"/>
      <c r="F1533" s="34"/>
      <c r="H1533" s="32"/>
      <c r="I1533" s="33"/>
      <c r="J1533" s="33"/>
      <c r="K1533" s="33"/>
      <c r="L1533" s="33"/>
      <c r="M1533" s="33"/>
      <c r="N1533" s="33"/>
      <c r="O1533" s="34"/>
      <c r="P1533" s="110"/>
      <c r="Q1533" s="102"/>
    </row>
    <row r="1534" spans="3:25" hidden="1" x14ac:dyDescent="0.3">
      <c r="C1534" s="35" t="s">
        <v>341</v>
      </c>
      <c r="D1534" s="9"/>
      <c r="E1534" s="9"/>
      <c r="F1534" s="36"/>
      <c r="H1534" s="35" t="s">
        <v>342</v>
      </c>
      <c r="I1534" s="9"/>
      <c r="J1534" s="9"/>
      <c r="K1534" s="9"/>
      <c r="L1534" s="9"/>
      <c r="M1534" s="9"/>
      <c r="N1534" s="9"/>
      <c r="O1534" s="36"/>
      <c r="P1534" s="107">
        <v>0</v>
      </c>
      <c r="Q1534" s="107"/>
      <c r="R1534" s="52"/>
      <c r="S1534" s="53"/>
      <c r="T1534" s="53"/>
      <c r="U1534" s="53"/>
      <c r="V1534" s="53"/>
      <c r="W1534" s="53"/>
      <c r="X1534" s="53"/>
      <c r="Y1534" s="54"/>
    </row>
    <row r="1535" spans="3:25" hidden="1" x14ac:dyDescent="0.3">
      <c r="C1535" s="35"/>
      <c r="D1535" s="9"/>
      <c r="E1535" s="9"/>
      <c r="F1535" s="36"/>
      <c r="H1535" s="35" t="s">
        <v>343</v>
      </c>
      <c r="I1535" s="9"/>
      <c r="J1535" s="9"/>
      <c r="K1535" s="9"/>
      <c r="L1535" s="9"/>
      <c r="M1535" s="9"/>
      <c r="N1535" s="9"/>
      <c r="O1535" s="36"/>
      <c r="P1535" s="107">
        <v>1</v>
      </c>
      <c r="Q1535" s="107"/>
      <c r="R1535" s="51"/>
      <c r="Y1535" s="55"/>
    </row>
    <row r="1536" spans="3:25" hidden="1" x14ac:dyDescent="0.3">
      <c r="C1536" s="38"/>
      <c r="D1536" s="39"/>
      <c r="E1536" s="39"/>
      <c r="F1536" s="40"/>
      <c r="H1536" s="38" t="s">
        <v>344</v>
      </c>
      <c r="I1536" s="39"/>
      <c r="J1536" s="39"/>
      <c r="K1536" s="39"/>
      <c r="L1536" s="39"/>
      <c r="M1536" s="39"/>
      <c r="N1536" s="39"/>
      <c r="O1536" s="40"/>
      <c r="P1536" s="107">
        <v>0</v>
      </c>
      <c r="Q1536" s="107"/>
      <c r="R1536" s="56"/>
      <c r="S1536" s="57"/>
      <c r="T1536" s="57"/>
      <c r="U1536" s="57"/>
      <c r="V1536" s="57"/>
      <c r="W1536" s="57"/>
      <c r="X1536" s="57"/>
      <c r="Y1536" s="58"/>
    </row>
    <row r="1537" spans="3:25" hidden="1" x14ac:dyDescent="0.3"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</row>
    <row r="1538" spans="3:25" hidden="1" x14ac:dyDescent="0.3">
      <c r="C1538" s="32"/>
      <c r="D1538" s="33"/>
      <c r="E1538" s="33"/>
      <c r="F1538" s="34"/>
      <c r="H1538" s="32"/>
      <c r="I1538" s="33"/>
      <c r="J1538" s="33"/>
      <c r="K1538" s="33"/>
      <c r="L1538" s="33"/>
      <c r="M1538" s="33"/>
      <c r="N1538" s="33"/>
      <c r="O1538" s="34"/>
      <c r="P1538" s="110"/>
      <c r="Q1538" s="102"/>
    </row>
    <row r="1539" spans="3:25" hidden="1" x14ac:dyDescent="0.3">
      <c r="C1539" s="35" t="s">
        <v>345</v>
      </c>
      <c r="D1539" s="9"/>
      <c r="E1539" s="9"/>
      <c r="F1539" s="36"/>
      <c r="H1539" s="35" t="s">
        <v>320</v>
      </c>
      <c r="I1539" s="9"/>
      <c r="J1539" s="9"/>
      <c r="K1539" s="9"/>
      <c r="L1539" s="9"/>
      <c r="M1539" s="9"/>
      <c r="N1539" s="9"/>
      <c r="O1539" s="36"/>
      <c r="P1539" s="107">
        <v>1</v>
      </c>
      <c r="Q1539" s="107"/>
      <c r="R1539" s="52"/>
      <c r="S1539" s="53"/>
      <c r="T1539" s="53"/>
      <c r="U1539" s="53"/>
      <c r="V1539" s="53"/>
      <c r="W1539" s="53"/>
      <c r="X1539" s="53"/>
      <c r="Y1539" s="54"/>
    </row>
    <row r="1540" spans="3:25" hidden="1" x14ac:dyDescent="0.3">
      <c r="C1540" s="35"/>
      <c r="D1540" s="9"/>
      <c r="E1540" s="9"/>
      <c r="F1540" s="36"/>
      <c r="H1540" s="35" t="s">
        <v>346</v>
      </c>
      <c r="I1540" s="9"/>
      <c r="J1540" s="9"/>
      <c r="K1540" s="9"/>
      <c r="L1540" s="9"/>
      <c r="M1540" s="9"/>
      <c r="N1540" s="9"/>
      <c r="O1540" s="36"/>
      <c r="P1540" s="107">
        <v>1</v>
      </c>
      <c r="Q1540" s="107"/>
      <c r="R1540" s="51"/>
      <c r="Y1540" s="55"/>
    </row>
    <row r="1541" spans="3:25" hidden="1" x14ac:dyDescent="0.3">
      <c r="C1541" s="35"/>
      <c r="D1541" s="9"/>
      <c r="E1541" s="9"/>
      <c r="F1541" s="36"/>
      <c r="H1541" s="35" t="s">
        <v>347</v>
      </c>
      <c r="I1541" s="9"/>
      <c r="J1541" s="9"/>
      <c r="K1541" s="9"/>
      <c r="L1541" s="9"/>
      <c r="M1541" s="9"/>
      <c r="N1541" s="9"/>
      <c r="O1541" s="36"/>
      <c r="P1541" s="107">
        <v>0</v>
      </c>
      <c r="Q1541" s="107"/>
      <c r="R1541" s="51"/>
      <c r="Y1541" s="55"/>
    </row>
    <row r="1542" spans="3:25" hidden="1" x14ac:dyDescent="0.3">
      <c r="C1542" s="35"/>
      <c r="D1542" s="9"/>
      <c r="E1542" s="9"/>
      <c r="F1542" s="36"/>
      <c r="H1542" s="35" t="s">
        <v>348</v>
      </c>
      <c r="I1542" s="9"/>
      <c r="J1542" s="9"/>
      <c r="K1542" s="9"/>
      <c r="L1542" s="9"/>
      <c r="M1542" s="9"/>
      <c r="N1542" s="9"/>
      <c r="O1542" s="36"/>
      <c r="P1542" s="107">
        <v>1</v>
      </c>
      <c r="Q1542" s="107"/>
      <c r="R1542" s="51"/>
      <c r="Y1542" s="55"/>
    </row>
    <row r="1543" spans="3:25" hidden="1" x14ac:dyDescent="0.3">
      <c r="C1543" s="38"/>
      <c r="D1543" s="39"/>
      <c r="E1543" s="39"/>
      <c r="F1543" s="40"/>
      <c r="H1543" s="38" t="s">
        <v>349</v>
      </c>
      <c r="I1543" s="39"/>
      <c r="J1543" s="39"/>
      <c r="K1543" s="39"/>
      <c r="L1543" s="39"/>
      <c r="M1543" s="39"/>
      <c r="N1543" s="39"/>
      <c r="O1543" s="40"/>
      <c r="P1543" s="107">
        <v>0</v>
      </c>
      <c r="Q1543" s="107"/>
      <c r="R1543" s="56"/>
      <c r="S1543" s="57"/>
      <c r="T1543" s="57"/>
      <c r="U1543" s="57"/>
      <c r="V1543" s="57"/>
      <c r="W1543" s="57"/>
      <c r="X1543" s="57"/>
      <c r="Y1543" s="58"/>
    </row>
    <row r="1544" spans="3:25" hidden="1" x14ac:dyDescent="0.3"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</row>
    <row r="1545" spans="3:25" hidden="1" x14ac:dyDescent="0.3">
      <c r="C1545" s="32"/>
      <c r="D1545" s="33"/>
      <c r="E1545" s="33"/>
      <c r="F1545" s="34"/>
      <c r="H1545" s="32"/>
      <c r="I1545" s="33"/>
      <c r="J1545" s="33"/>
      <c r="K1545" s="33"/>
      <c r="L1545" s="33"/>
      <c r="M1545" s="33"/>
      <c r="N1545" s="33"/>
      <c r="O1545" s="34"/>
      <c r="P1545" s="110"/>
      <c r="Q1545" s="102"/>
    </row>
    <row r="1546" spans="3:25" hidden="1" x14ac:dyDescent="0.3">
      <c r="C1546" s="35" t="s">
        <v>350</v>
      </c>
      <c r="D1546" s="9"/>
      <c r="E1546" s="9"/>
      <c r="F1546" s="36"/>
      <c r="H1546" s="35" t="s">
        <v>320</v>
      </c>
      <c r="I1546" s="9"/>
      <c r="J1546" s="9"/>
      <c r="K1546" s="9"/>
      <c r="L1546" s="9"/>
      <c r="M1546" s="9"/>
      <c r="N1546" s="9"/>
      <c r="O1546" s="36"/>
      <c r="P1546" s="107">
        <v>0</v>
      </c>
      <c r="Q1546" s="107"/>
      <c r="R1546" s="52"/>
      <c r="S1546" s="53"/>
      <c r="T1546" s="53"/>
      <c r="U1546" s="53"/>
      <c r="V1546" s="53"/>
      <c r="W1546" s="53"/>
      <c r="X1546" s="53"/>
      <c r="Y1546" s="54"/>
    </row>
    <row r="1547" spans="3:25" hidden="1" x14ac:dyDescent="0.3">
      <c r="C1547" s="35"/>
      <c r="D1547" s="9"/>
      <c r="E1547" s="9"/>
      <c r="F1547" s="36"/>
      <c r="H1547" s="35" t="s">
        <v>351</v>
      </c>
      <c r="I1547" s="9"/>
      <c r="J1547" s="9"/>
      <c r="K1547" s="9"/>
      <c r="L1547" s="9"/>
      <c r="M1547" s="9"/>
      <c r="N1547" s="9"/>
      <c r="O1547" s="36"/>
      <c r="P1547" s="107">
        <v>0</v>
      </c>
      <c r="Q1547" s="107"/>
      <c r="R1547" s="51"/>
      <c r="Y1547" s="55"/>
    </row>
    <row r="1548" spans="3:25" hidden="1" x14ac:dyDescent="0.3">
      <c r="C1548" s="35"/>
      <c r="D1548" s="9"/>
      <c r="E1548" s="9"/>
      <c r="F1548" s="36"/>
      <c r="H1548" s="35" t="s">
        <v>352</v>
      </c>
      <c r="I1548" s="9"/>
      <c r="J1548" s="9"/>
      <c r="K1548" s="9"/>
      <c r="L1548" s="9"/>
      <c r="M1548" s="9"/>
      <c r="N1548" s="9"/>
      <c r="O1548" s="36"/>
      <c r="P1548" s="107">
        <v>0</v>
      </c>
      <c r="Q1548" s="107"/>
      <c r="R1548" s="51"/>
      <c r="Y1548" s="55"/>
    </row>
    <row r="1549" spans="3:25" hidden="1" x14ac:dyDescent="0.3">
      <c r="C1549" s="35"/>
      <c r="D1549" s="9"/>
      <c r="E1549" s="9"/>
      <c r="F1549" s="36"/>
      <c r="H1549" s="35" t="s">
        <v>353</v>
      </c>
      <c r="I1549" s="9"/>
      <c r="J1549" s="9"/>
      <c r="K1549" s="9"/>
      <c r="L1549" s="9"/>
      <c r="M1549" s="9"/>
      <c r="N1549" s="9"/>
      <c r="O1549" s="36"/>
      <c r="P1549" s="107">
        <v>1</v>
      </c>
      <c r="Q1549" s="107"/>
      <c r="R1549" s="51"/>
      <c r="Y1549" s="55"/>
    </row>
    <row r="1550" spans="3:25" hidden="1" x14ac:dyDescent="0.3">
      <c r="C1550" s="38"/>
      <c r="D1550" s="39"/>
      <c r="E1550" s="39"/>
      <c r="F1550" s="40"/>
      <c r="H1550" s="38" t="s">
        <v>222</v>
      </c>
      <c r="I1550" s="39"/>
      <c r="J1550" s="39"/>
      <c r="K1550" s="39"/>
      <c r="L1550" s="39"/>
      <c r="M1550" s="39"/>
      <c r="N1550" s="39"/>
      <c r="O1550" s="40"/>
      <c r="P1550" s="107">
        <v>0</v>
      </c>
      <c r="Q1550" s="107"/>
      <c r="R1550" s="56"/>
      <c r="S1550" s="57"/>
      <c r="T1550" s="57"/>
      <c r="U1550" s="57"/>
      <c r="V1550" s="57"/>
      <c r="W1550" s="57"/>
      <c r="X1550" s="57"/>
      <c r="Y1550" s="58"/>
    </row>
    <row r="1551" spans="3:25" hidden="1" x14ac:dyDescent="0.3"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</row>
    <row r="1552" spans="3:25" hidden="1" x14ac:dyDescent="0.3">
      <c r="C1552" s="32"/>
      <c r="D1552" s="33"/>
      <c r="E1552" s="33"/>
      <c r="F1552" s="34"/>
      <c r="H1552" s="32"/>
      <c r="I1552" s="33"/>
      <c r="J1552" s="33"/>
      <c r="K1552" s="33"/>
      <c r="L1552" s="33"/>
      <c r="M1552" s="33"/>
      <c r="N1552" s="33"/>
      <c r="O1552" s="34"/>
      <c r="P1552" s="110"/>
      <c r="Q1552" s="102"/>
    </row>
    <row r="1553" spans="3:25" hidden="1" x14ac:dyDescent="0.3">
      <c r="C1553" s="35" t="s">
        <v>354</v>
      </c>
      <c r="D1553" s="9"/>
      <c r="E1553" s="9"/>
      <c r="F1553" s="36"/>
      <c r="H1553" s="35" t="s">
        <v>355</v>
      </c>
      <c r="I1553" s="9"/>
      <c r="J1553" s="9"/>
      <c r="K1553" s="9"/>
      <c r="L1553" s="9"/>
      <c r="M1553" s="9"/>
      <c r="N1553" s="9"/>
      <c r="O1553" s="36"/>
      <c r="P1553" s="107">
        <v>0</v>
      </c>
      <c r="Q1553" s="107"/>
      <c r="R1553" s="52"/>
      <c r="S1553" s="53"/>
      <c r="T1553" s="53"/>
      <c r="U1553" s="53"/>
      <c r="V1553" s="53"/>
      <c r="W1553" s="53"/>
      <c r="X1553" s="53"/>
      <c r="Y1553" s="54"/>
    </row>
    <row r="1554" spans="3:25" hidden="1" x14ac:dyDescent="0.3">
      <c r="C1554" s="35"/>
      <c r="D1554" s="9"/>
      <c r="E1554" s="9"/>
      <c r="F1554" s="36"/>
      <c r="H1554" s="35" t="s">
        <v>356</v>
      </c>
      <c r="I1554" s="9"/>
      <c r="J1554" s="9"/>
      <c r="K1554" s="9"/>
      <c r="L1554" s="9"/>
      <c r="M1554" s="9"/>
      <c r="N1554" s="9"/>
      <c r="O1554" s="36"/>
      <c r="P1554" s="107">
        <v>1</v>
      </c>
      <c r="Q1554" s="107"/>
      <c r="R1554" s="51"/>
      <c r="Y1554" s="55"/>
    </row>
    <row r="1555" spans="3:25" hidden="1" x14ac:dyDescent="0.3">
      <c r="C1555" s="35"/>
      <c r="D1555" s="9"/>
      <c r="E1555" s="9"/>
      <c r="F1555" s="36"/>
      <c r="H1555" s="35" t="s">
        <v>357</v>
      </c>
      <c r="I1555" s="9"/>
      <c r="J1555" s="9"/>
      <c r="K1555" s="9"/>
      <c r="L1555" s="9"/>
      <c r="M1555" s="9"/>
      <c r="N1555" s="9"/>
      <c r="O1555" s="36"/>
      <c r="P1555" s="107">
        <v>0</v>
      </c>
      <c r="Q1555" s="107"/>
      <c r="R1555" s="51"/>
      <c r="Y1555" s="55"/>
    </row>
    <row r="1556" spans="3:25" hidden="1" x14ac:dyDescent="0.3">
      <c r="C1556" s="35"/>
      <c r="D1556" s="9"/>
      <c r="E1556" s="9"/>
      <c r="F1556" s="36"/>
      <c r="H1556" s="35" t="s">
        <v>358</v>
      </c>
      <c r="I1556" s="9"/>
      <c r="J1556" s="9"/>
      <c r="K1556" s="9"/>
      <c r="L1556" s="9"/>
      <c r="M1556" s="9"/>
      <c r="N1556" s="9"/>
      <c r="O1556" s="36"/>
      <c r="P1556" s="107">
        <v>0</v>
      </c>
      <c r="Q1556" s="107"/>
      <c r="R1556" s="51"/>
      <c r="Y1556" s="55"/>
    </row>
    <row r="1557" spans="3:25" hidden="1" x14ac:dyDescent="0.3">
      <c r="C1557" s="38"/>
      <c r="D1557" s="39"/>
      <c r="E1557" s="39"/>
      <c r="F1557" s="40"/>
      <c r="H1557" s="38" t="s">
        <v>359</v>
      </c>
      <c r="I1557" s="39"/>
      <c r="J1557" s="39"/>
      <c r="K1557" s="39"/>
      <c r="L1557" s="39"/>
      <c r="M1557" s="39"/>
      <c r="N1557" s="39"/>
      <c r="O1557" s="40"/>
      <c r="P1557" s="107">
        <v>1</v>
      </c>
      <c r="Q1557" s="107"/>
      <c r="R1557" s="56"/>
      <c r="S1557" s="57"/>
      <c r="T1557" s="57"/>
      <c r="U1557" s="57"/>
      <c r="V1557" s="57"/>
      <c r="W1557" s="57"/>
      <c r="X1557" s="57"/>
      <c r="Y1557" s="58"/>
    </row>
    <row r="1558" spans="3:25" hidden="1" x14ac:dyDescent="0.3"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</row>
    <row r="1559" spans="3:25" hidden="1" x14ac:dyDescent="0.3"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</row>
    <row r="1560" spans="3:25" hidden="1" x14ac:dyDescent="0.3">
      <c r="C1560" s="43"/>
      <c r="D1560" s="44"/>
      <c r="E1560" s="44"/>
      <c r="F1560" s="45"/>
      <c r="H1560" s="43"/>
      <c r="I1560" s="44"/>
      <c r="J1560" s="44"/>
      <c r="K1560" s="44"/>
      <c r="L1560" s="44"/>
      <c r="M1560" s="44"/>
      <c r="N1560" s="44"/>
      <c r="O1560" s="45"/>
      <c r="P1560" s="110"/>
      <c r="Q1560" s="102"/>
    </row>
    <row r="1561" spans="3:25" hidden="1" x14ac:dyDescent="0.3">
      <c r="C1561" s="46" t="s">
        <v>360</v>
      </c>
      <c r="D1561" s="13"/>
      <c r="E1561" s="13"/>
      <c r="F1561" s="47"/>
      <c r="H1561" s="46" t="s">
        <v>320</v>
      </c>
      <c r="I1561" s="13"/>
      <c r="J1561" s="13"/>
      <c r="K1561" s="13"/>
      <c r="L1561" s="13"/>
      <c r="M1561" s="13"/>
      <c r="N1561" s="13"/>
      <c r="O1561" s="47"/>
      <c r="P1561" s="107">
        <v>2</v>
      </c>
      <c r="Q1561" s="107"/>
      <c r="R1561" s="52"/>
      <c r="S1561" s="53"/>
      <c r="T1561" s="53"/>
      <c r="U1561" s="53"/>
      <c r="V1561" s="53"/>
      <c r="W1561" s="53"/>
      <c r="X1561" s="53"/>
      <c r="Y1561" s="54"/>
    </row>
    <row r="1562" spans="3:25" hidden="1" x14ac:dyDescent="0.3">
      <c r="C1562" s="46"/>
      <c r="D1562" s="13"/>
      <c r="E1562" s="13"/>
      <c r="F1562" s="47"/>
      <c r="H1562" s="46" t="s">
        <v>361</v>
      </c>
      <c r="I1562" s="13"/>
      <c r="J1562" s="13"/>
      <c r="K1562" s="13"/>
      <c r="L1562" s="13"/>
      <c r="M1562" s="13"/>
      <c r="N1562" s="13"/>
      <c r="O1562" s="47"/>
      <c r="P1562" s="107" t="s">
        <v>414</v>
      </c>
      <c r="Q1562" s="107"/>
      <c r="R1562" s="51"/>
      <c r="Y1562" s="55"/>
    </row>
    <row r="1563" spans="3:25" hidden="1" x14ac:dyDescent="0.3">
      <c r="C1563" s="46"/>
      <c r="D1563" s="13"/>
      <c r="E1563" s="13"/>
      <c r="F1563" s="47"/>
      <c r="H1563" s="46" t="s">
        <v>362</v>
      </c>
      <c r="I1563" s="13"/>
      <c r="J1563" s="13"/>
      <c r="K1563" s="13"/>
      <c r="L1563" s="13"/>
      <c r="M1563" s="13"/>
      <c r="N1563" s="13"/>
      <c r="O1563" s="47"/>
      <c r="P1563" s="107" t="s">
        <v>420</v>
      </c>
      <c r="Q1563" s="107"/>
      <c r="R1563" s="51"/>
      <c r="Y1563" s="55"/>
    </row>
    <row r="1564" spans="3:25" hidden="1" x14ac:dyDescent="0.3">
      <c r="C1564" s="48"/>
      <c r="D1564" s="49"/>
      <c r="E1564" s="49"/>
      <c r="F1564" s="50"/>
      <c r="H1564" s="48" t="s">
        <v>363</v>
      </c>
      <c r="I1564" s="49"/>
      <c r="J1564" s="49"/>
      <c r="K1564" s="49"/>
      <c r="L1564" s="49"/>
      <c r="M1564" s="49"/>
      <c r="N1564" s="49"/>
      <c r="O1564" s="50"/>
      <c r="P1564" s="107" t="s">
        <v>421</v>
      </c>
      <c r="Q1564" s="107"/>
      <c r="R1564" s="56"/>
      <c r="S1564" s="57"/>
      <c r="T1564" s="57"/>
      <c r="U1564" s="57"/>
      <c r="V1564" s="57"/>
      <c r="W1564" s="57"/>
      <c r="X1564" s="57"/>
      <c r="Y1564" s="58"/>
    </row>
    <row r="1565" spans="3:25" hidden="1" x14ac:dyDescent="0.3"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</row>
    <row r="1566" spans="3:25" hidden="1" x14ac:dyDescent="0.3">
      <c r="C1566" s="43"/>
      <c r="D1566" s="44"/>
      <c r="E1566" s="44"/>
      <c r="F1566" s="45"/>
      <c r="H1566" s="43"/>
      <c r="I1566" s="44"/>
      <c r="J1566" s="44"/>
      <c r="K1566" s="44"/>
      <c r="L1566" s="44"/>
      <c r="M1566" s="44"/>
      <c r="N1566" s="44"/>
      <c r="O1566" s="45"/>
      <c r="P1566" s="112"/>
      <c r="Q1566" s="113"/>
    </row>
    <row r="1567" spans="3:25" hidden="1" x14ac:dyDescent="0.3">
      <c r="C1567" s="46" t="s">
        <v>364</v>
      </c>
      <c r="D1567" s="13"/>
      <c r="E1567" s="13"/>
      <c r="F1567" s="47"/>
      <c r="H1567" s="46" t="s">
        <v>365</v>
      </c>
      <c r="I1567" s="13"/>
      <c r="J1567" s="13"/>
      <c r="K1567" s="13"/>
      <c r="L1567" s="13"/>
      <c r="M1567" s="13"/>
      <c r="N1567" s="13"/>
      <c r="O1567" s="47"/>
      <c r="P1567" s="111" t="s">
        <v>398</v>
      </c>
      <c r="Q1567" s="111"/>
      <c r="R1567" s="52"/>
      <c r="S1567" s="53"/>
      <c r="T1567" s="53"/>
      <c r="U1567" s="53"/>
      <c r="V1567" s="53"/>
      <c r="W1567" s="53"/>
      <c r="X1567" s="53"/>
      <c r="Y1567" s="54"/>
    </row>
    <row r="1568" spans="3:25" hidden="1" x14ac:dyDescent="0.3">
      <c r="C1568" s="46"/>
      <c r="D1568" s="13"/>
      <c r="E1568" s="13"/>
      <c r="F1568" s="47"/>
      <c r="H1568" s="46" t="s">
        <v>366</v>
      </c>
      <c r="I1568" s="13"/>
      <c r="J1568" s="13"/>
      <c r="K1568" s="13"/>
      <c r="L1568" s="13"/>
      <c r="M1568" s="13"/>
      <c r="N1568" s="13"/>
      <c r="O1568" s="47"/>
      <c r="P1568" s="111" t="s">
        <v>398</v>
      </c>
      <c r="Q1568" s="111"/>
      <c r="R1568" s="51"/>
      <c r="Y1568" s="55"/>
    </row>
    <row r="1569" spans="3:25" hidden="1" x14ac:dyDescent="0.3">
      <c r="C1569" s="46"/>
      <c r="D1569" s="13"/>
      <c r="E1569" s="13"/>
      <c r="F1569" s="47"/>
      <c r="H1569" s="46" t="s">
        <v>367</v>
      </c>
      <c r="I1569" s="13"/>
      <c r="J1569" s="13"/>
      <c r="K1569" s="13"/>
      <c r="L1569" s="13"/>
      <c r="M1569" s="13"/>
      <c r="N1569" s="13"/>
      <c r="O1569" s="47"/>
      <c r="P1569" s="111" t="s">
        <v>401</v>
      </c>
      <c r="Q1569" s="111"/>
      <c r="R1569" s="51"/>
      <c r="Y1569" s="55"/>
    </row>
    <row r="1570" spans="3:25" hidden="1" x14ac:dyDescent="0.3">
      <c r="C1570" s="46"/>
      <c r="D1570" s="13"/>
      <c r="E1570" s="13"/>
      <c r="F1570" s="47"/>
      <c r="H1570" s="46" t="s">
        <v>368</v>
      </c>
      <c r="I1570" s="13"/>
      <c r="J1570" s="13"/>
      <c r="K1570" s="13"/>
      <c r="L1570" s="13"/>
      <c r="M1570" s="13"/>
      <c r="N1570" s="13"/>
      <c r="O1570" s="47"/>
      <c r="P1570" s="111">
        <v>1</v>
      </c>
      <c r="Q1570" s="111"/>
      <c r="R1570" s="51"/>
      <c r="Y1570" s="55"/>
    </row>
    <row r="1571" spans="3:25" hidden="1" x14ac:dyDescent="0.3">
      <c r="C1571" s="48"/>
      <c r="D1571" s="49"/>
      <c r="E1571" s="49"/>
      <c r="F1571" s="50"/>
      <c r="H1571" s="48" t="s">
        <v>369</v>
      </c>
      <c r="I1571" s="49"/>
      <c r="J1571" s="49"/>
      <c r="K1571" s="49"/>
      <c r="L1571" s="49"/>
      <c r="M1571" s="49"/>
      <c r="N1571" s="49"/>
      <c r="O1571" s="50"/>
      <c r="P1571" s="111">
        <v>1</v>
      </c>
      <c r="Q1571" s="111"/>
      <c r="R1571" s="56"/>
      <c r="S1571" s="57"/>
      <c r="T1571" s="57"/>
      <c r="U1571" s="57"/>
      <c r="V1571" s="57"/>
      <c r="W1571" s="57"/>
      <c r="X1571" s="57"/>
      <c r="Y1571" s="58"/>
    </row>
    <row r="1572" spans="3:25" hidden="1" x14ac:dyDescent="0.3"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</row>
    <row r="1573" spans="3:25" hidden="1" x14ac:dyDescent="0.3">
      <c r="C1573" s="43"/>
      <c r="D1573" s="44"/>
      <c r="E1573" s="44"/>
      <c r="F1573" s="45"/>
      <c r="H1573" s="43"/>
      <c r="I1573" s="44"/>
      <c r="J1573" s="44"/>
      <c r="K1573" s="44"/>
      <c r="L1573" s="44"/>
      <c r="M1573" s="44"/>
      <c r="N1573" s="44"/>
      <c r="O1573" s="45"/>
      <c r="P1573" s="112"/>
      <c r="Q1573" s="113"/>
    </row>
    <row r="1574" spans="3:25" hidden="1" x14ac:dyDescent="0.3">
      <c r="C1574" s="46" t="s">
        <v>370</v>
      </c>
      <c r="D1574" s="13"/>
      <c r="E1574" s="13"/>
      <c r="F1574" s="47"/>
      <c r="H1574" s="46" t="s">
        <v>371</v>
      </c>
      <c r="I1574" s="13"/>
      <c r="J1574" s="13"/>
      <c r="K1574" s="13"/>
      <c r="L1574" s="13"/>
      <c r="M1574" s="13"/>
      <c r="N1574" s="13"/>
      <c r="O1574" s="47"/>
      <c r="P1574" s="111">
        <v>0</v>
      </c>
      <c r="Q1574" s="111"/>
      <c r="R1574" s="52"/>
      <c r="S1574" s="53"/>
      <c r="T1574" s="53"/>
      <c r="U1574" s="53"/>
      <c r="V1574" s="53"/>
      <c r="W1574" s="53"/>
      <c r="X1574" s="53"/>
      <c r="Y1574" s="54"/>
    </row>
    <row r="1575" spans="3:25" hidden="1" x14ac:dyDescent="0.3">
      <c r="C1575" s="46"/>
      <c r="D1575" s="13"/>
      <c r="E1575" s="13"/>
      <c r="F1575" s="47"/>
      <c r="H1575" s="46" t="s">
        <v>372</v>
      </c>
      <c r="I1575" s="13"/>
      <c r="J1575" s="13"/>
      <c r="K1575" s="13"/>
      <c r="L1575" s="13"/>
      <c r="M1575" s="13"/>
      <c r="N1575" s="13"/>
      <c r="O1575" s="47"/>
      <c r="P1575" s="111">
        <v>1</v>
      </c>
      <c r="Q1575" s="111"/>
      <c r="R1575" s="51"/>
      <c r="Y1575" s="55"/>
    </row>
    <row r="1576" spans="3:25" hidden="1" x14ac:dyDescent="0.3">
      <c r="C1576" s="48"/>
      <c r="D1576" s="49"/>
      <c r="E1576" s="49"/>
      <c r="F1576" s="50"/>
      <c r="H1576" s="48" t="s">
        <v>373</v>
      </c>
      <c r="I1576" s="49"/>
      <c r="J1576" s="49"/>
      <c r="K1576" s="49"/>
      <c r="L1576" s="49"/>
      <c r="M1576" s="49"/>
      <c r="N1576" s="49"/>
      <c r="O1576" s="50"/>
      <c r="P1576" s="111">
        <v>0</v>
      </c>
      <c r="Q1576" s="111"/>
      <c r="R1576" s="56"/>
      <c r="S1576" s="57"/>
      <c r="T1576" s="57"/>
      <c r="U1576" s="57"/>
      <c r="V1576" s="57"/>
      <c r="W1576" s="57"/>
      <c r="X1576" s="57"/>
      <c r="Y1576" s="58"/>
    </row>
    <row r="1577" spans="3:25" hidden="1" x14ac:dyDescent="0.3"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</row>
    <row r="1578" spans="3:25" hidden="1" x14ac:dyDescent="0.3">
      <c r="C1578" s="43"/>
      <c r="D1578" s="44"/>
      <c r="E1578" s="44"/>
      <c r="F1578" s="45"/>
      <c r="H1578" s="43"/>
      <c r="I1578" s="44"/>
      <c r="J1578" s="44"/>
      <c r="K1578" s="44"/>
      <c r="L1578" s="44"/>
      <c r="M1578" s="44"/>
      <c r="N1578" s="44"/>
      <c r="O1578" s="45"/>
      <c r="P1578" s="112"/>
      <c r="Q1578" s="113"/>
    </row>
    <row r="1579" spans="3:25" hidden="1" x14ac:dyDescent="0.3">
      <c r="C1579" s="46" t="s">
        <v>374</v>
      </c>
      <c r="D1579" s="13"/>
      <c r="E1579" s="13"/>
      <c r="F1579" s="47"/>
      <c r="H1579" s="46" t="s">
        <v>375</v>
      </c>
      <c r="I1579" s="13"/>
      <c r="J1579" s="13"/>
      <c r="K1579" s="13"/>
      <c r="L1579" s="13"/>
      <c r="M1579" s="13"/>
      <c r="N1579" s="13"/>
      <c r="O1579" s="47"/>
      <c r="P1579" s="111">
        <v>0</v>
      </c>
      <c r="Q1579" s="111"/>
      <c r="R1579" s="52"/>
      <c r="S1579" s="53"/>
      <c r="T1579" s="53"/>
      <c r="U1579" s="53"/>
      <c r="V1579" s="53"/>
      <c r="W1579" s="53"/>
      <c r="X1579" s="53"/>
      <c r="Y1579" s="54"/>
    </row>
    <row r="1580" spans="3:25" hidden="1" x14ac:dyDescent="0.3">
      <c r="C1580" s="46"/>
      <c r="D1580" s="13"/>
      <c r="E1580" s="13"/>
      <c r="F1580" s="47"/>
      <c r="H1580" s="46" t="s">
        <v>376</v>
      </c>
      <c r="I1580" s="13"/>
      <c r="J1580" s="13"/>
      <c r="K1580" s="13"/>
      <c r="L1580" s="13"/>
      <c r="M1580" s="13"/>
      <c r="N1580" s="13"/>
      <c r="O1580" s="47"/>
      <c r="P1580" s="111">
        <v>1</v>
      </c>
      <c r="Q1580" s="111"/>
      <c r="R1580" s="51"/>
      <c r="Y1580" s="55"/>
    </row>
    <row r="1581" spans="3:25" hidden="1" x14ac:dyDescent="0.3">
      <c r="C1581" s="48"/>
      <c r="D1581" s="49"/>
      <c r="E1581" s="49"/>
      <c r="F1581" s="50"/>
      <c r="H1581" s="48" t="s">
        <v>377</v>
      </c>
      <c r="I1581" s="49"/>
      <c r="J1581" s="49"/>
      <c r="K1581" s="49"/>
      <c r="L1581" s="49"/>
      <c r="M1581" s="49"/>
      <c r="N1581" s="49"/>
      <c r="O1581" s="50"/>
      <c r="P1581" s="111">
        <v>1</v>
      </c>
      <c r="Q1581" s="111"/>
      <c r="R1581" s="56"/>
      <c r="S1581" s="57"/>
      <c r="T1581" s="57"/>
      <c r="U1581" s="57"/>
      <c r="V1581" s="57"/>
      <c r="W1581" s="57"/>
      <c r="X1581" s="57"/>
      <c r="Y1581" s="58"/>
    </row>
    <row r="1582" spans="3:25" hidden="1" x14ac:dyDescent="0.3"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</row>
    <row r="1583" spans="3:25" hidden="1" x14ac:dyDescent="0.3">
      <c r="C1583" s="43"/>
      <c r="D1583" s="44"/>
      <c r="E1583" s="44"/>
      <c r="F1583" s="45"/>
      <c r="H1583" s="43"/>
      <c r="I1583" s="44"/>
      <c r="J1583" s="44"/>
      <c r="K1583" s="44"/>
      <c r="L1583" s="44"/>
      <c r="M1583" s="44"/>
      <c r="N1583" s="44"/>
      <c r="O1583" s="45"/>
      <c r="P1583" s="112"/>
      <c r="Q1583" s="113"/>
    </row>
    <row r="1584" spans="3:25" hidden="1" x14ac:dyDescent="0.3">
      <c r="C1584" s="46" t="s">
        <v>378</v>
      </c>
      <c r="D1584" s="13"/>
      <c r="E1584" s="13"/>
      <c r="F1584" s="47"/>
      <c r="H1584" s="46" t="s">
        <v>379</v>
      </c>
      <c r="I1584" s="13"/>
      <c r="J1584" s="13"/>
      <c r="K1584" s="13"/>
      <c r="L1584" s="13"/>
      <c r="M1584" s="13"/>
      <c r="N1584" s="13"/>
      <c r="O1584" s="47"/>
      <c r="P1584" s="111">
        <v>0</v>
      </c>
      <c r="Q1584" s="111"/>
      <c r="R1584" s="52"/>
      <c r="S1584" s="53"/>
      <c r="T1584" s="53"/>
      <c r="U1584" s="53"/>
      <c r="V1584" s="53"/>
      <c r="W1584" s="53"/>
      <c r="X1584" s="53"/>
      <c r="Y1584" s="54"/>
    </row>
    <row r="1585" spans="3:25" hidden="1" x14ac:dyDescent="0.3">
      <c r="C1585" s="46"/>
      <c r="D1585" s="13"/>
      <c r="E1585" s="13"/>
      <c r="F1585" s="47"/>
      <c r="H1585" s="46" t="s">
        <v>380</v>
      </c>
      <c r="I1585" s="13"/>
      <c r="J1585" s="13"/>
      <c r="K1585" s="13"/>
      <c r="L1585" s="13"/>
      <c r="M1585" s="13"/>
      <c r="N1585" s="13"/>
      <c r="O1585" s="47"/>
      <c r="P1585" s="111">
        <v>1</v>
      </c>
      <c r="Q1585" s="111"/>
      <c r="R1585" s="51"/>
      <c r="Y1585" s="55"/>
    </row>
    <row r="1586" spans="3:25" hidden="1" x14ac:dyDescent="0.3">
      <c r="C1586" s="48"/>
      <c r="D1586" s="49"/>
      <c r="E1586" s="49"/>
      <c r="F1586" s="50"/>
      <c r="H1586" s="48" t="s">
        <v>381</v>
      </c>
      <c r="I1586" s="49"/>
      <c r="J1586" s="49"/>
      <c r="K1586" s="49"/>
      <c r="L1586" s="49"/>
      <c r="M1586" s="49"/>
      <c r="N1586" s="49"/>
      <c r="O1586" s="50"/>
      <c r="P1586" s="111">
        <v>0</v>
      </c>
      <c r="Q1586" s="111"/>
      <c r="R1586" s="56"/>
      <c r="S1586" s="57"/>
      <c r="T1586" s="57"/>
      <c r="U1586" s="57"/>
      <c r="V1586" s="57"/>
      <c r="W1586" s="57"/>
      <c r="X1586" s="57"/>
      <c r="Y1586" s="58"/>
    </row>
    <row r="1587" spans="3:25" hidden="1" x14ac:dyDescent="0.3"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</row>
    <row r="1588" spans="3:25" hidden="1" x14ac:dyDescent="0.3">
      <c r="C1588" s="43"/>
      <c r="D1588" s="44"/>
      <c r="E1588" s="44"/>
      <c r="F1588" s="45"/>
      <c r="H1588" s="43"/>
      <c r="I1588" s="44"/>
      <c r="J1588" s="44"/>
      <c r="K1588" s="44"/>
      <c r="L1588" s="44"/>
      <c r="M1588" s="44"/>
      <c r="N1588" s="44"/>
      <c r="O1588" s="45"/>
      <c r="P1588" s="112"/>
      <c r="Q1588" s="113"/>
    </row>
    <row r="1589" spans="3:25" hidden="1" x14ac:dyDescent="0.3">
      <c r="C1589" s="46" t="s">
        <v>382</v>
      </c>
      <c r="D1589" s="13"/>
      <c r="E1589" s="13"/>
      <c r="F1589" s="47"/>
      <c r="H1589" s="46" t="s">
        <v>383</v>
      </c>
      <c r="I1589" s="13"/>
      <c r="J1589" s="13"/>
      <c r="K1589" s="13"/>
      <c r="L1589" s="13"/>
      <c r="M1589" s="13"/>
      <c r="N1589" s="13"/>
      <c r="O1589" s="47"/>
      <c r="P1589" s="111">
        <v>0</v>
      </c>
      <c r="Q1589" s="111"/>
      <c r="R1589" s="52"/>
      <c r="S1589" s="53"/>
      <c r="T1589" s="53"/>
      <c r="U1589" s="53"/>
      <c r="V1589" s="53"/>
      <c r="W1589" s="53"/>
      <c r="X1589" s="53"/>
      <c r="Y1589" s="54"/>
    </row>
    <row r="1590" spans="3:25" hidden="1" x14ac:dyDescent="0.3">
      <c r="C1590" s="46"/>
      <c r="D1590" s="13"/>
      <c r="E1590" s="13"/>
      <c r="F1590" s="47"/>
      <c r="H1590" s="46" t="s">
        <v>384</v>
      </c>
      <c r="I1590" s="13"/>
      <c r="J1590" s="13"/>
      <c r="K1590" s="13"/>
      <c r="L1590" s="13"/>
      <c r="M1590" s="13"/>
      <c r="N1590" s="13"/>
      <c r="O1590" s="47"/>
      <c r="P1590" s="111">
        <v>1</v>
      </c>
      <c r="Q1590" s="111"/>
      <c r="R1590" s="51"/>
      <c r="Y1590" s="55"/>
    </row>
    <row r="1591" spans="3:25" hidden="1" x14ac:dyDescent="0.3">
      <c r="C1591" s="48"/>
      <c r="D1591" s="49"/>
      <c r="E1591" s="49"/>
      <c r="F1591" s="50"/>
      <c r="H1591" s="48" t="s">
        <v>385</v>
      </c>
      <c r="I1591" s="49"/>
      <c r="J1591" s="49"/>
      <c r="K1591" s="49"/>
      <c r="L1591" s="49"/>
      <c r="M1591" s="49"/>
      <c r="N1591" s="49"/>
      <c r="O1591" s="50"/>
      <c r="P1591" s="111">
        <v>0</v>
      </c>
      <c r="Q1591" s="111"/>
      <c r="R1591" s="56"/>
      <c r="S1591" s="57"/>
      <c r="T1591" s="57"/>
      <c r="U1591" s="57"/>
      <c r="V1591" s="57"/>
      <c r="W1591" s="57"/>
      <c r="X1591" s="57"/>
      <c r="Y1591" s="58"/>
    </row>
    <row r="1592" spans="3:25" hidden="1" x14ac:dyDescent="0.3"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</row>
    <row r="1593" spans="3:25" hidden="1" x14ac:dyDescent="0.3">
      <c r="C1593" s="43"/>
      <c r="D1593" s="44"/>
      <c r="E1593" s="44"/>
      <c r="F1593" s="45"/>
      <c r="H1593" s="43"/>
      <c r="I1593" s="44"/>
      <c r="J1593" s="44"/>
      <c r="K1593" s="44"/>
      <c r="L1593" s="44"/>
      <c r="M1593" s="44"/>
      <c r="N1593" s="44"/>
      <c r="O1593" s="45"/>
      <c r="P1593" s="112"/>
      <c r="Q1593" s="113"/>
    </row>
    <row r="1594" spans="3:25" hidden="1" x14ac:dyDescent="0.3">
      <c r="C1594" s="46" t="s">
        <v>386</v>
      </c>
      <c r="D1594" s="13"/>
      <c r="E1594" s="13"/>
      <c r="F1594" s="47"/>
      <c r="H1594" s="46" t="s">
        <v>387</v>
      </c>
      <c r="I1594" s="13"/>
      <c r="J1594" s="13"/>
      <c r="K1594" s="13"/>
      <c r="L1594" s="13"/>
      <c r="M1594" s="13"/>
      <c r="N1594" s="13"/>
      <c r="O1594" s="47"/>
      <c r="P1594" s="111">
        <v>0</v>
      </c>
      <c r="Q1594" s="111"/>
      <c r="R1594" s="52"/>
      <c r="S1594" s="53"/>
      <c r="T1594" s="53"/>
      <c r="U1594" s="53"/>
      <c r="V1594" s="53"/>
      <c r="W1594" s="53"/>
      <c r="X1594" s="53"/>
      <c r="Y1594" s="54"/>
    </row>
    <row r="1595" spans="3:25" hidden="1" x14ac:dyDescent="0.3">
      <c r="C1595" s="48"/>
      <c r="D1595" s="49"/>
      <c r="E1595" s="49"/>
      <c r="F1595" s="50"/>
      <c r="H1595" s="48" t="s">
        <v>388</v>
      </c>
      <c r="I1595" s="49"/>
      <c r="J1595" s="49"/>
      <c r="K1595" s="49"/>
      <c r="L1595" s="49"/>
      <c r="M1595" s="49"/>
      <c r="N1595" s="49"/>
      <c r="O1595" s="50"/>
      <c r="P1595" s="111">
        <v>1</v>
      </c>
      <c r="Q1595" s="111"/>
      <c r="R1595" s="56"/>
      <c r="S1595" s="57"/>
      <c r="T1595" s="57"/>
      <c r="U1595" s="57"/>
      <c r="V1595" s="57"/>
      <c r="W1595" s="57"/>
      <c r="X1595" s="57"/>
      <c r="Y1595" s="58"/>
    </row>
    <row r="1596" spans="3:25" hidden="1" x14ac:dyDescent="0.3"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</row>
    <row r="1597" spans="3:25" hidden="1" x14ac:dyDescent="0.3">
      <c r="C1597" s="43"/>
      <c r="D1597" s="44"/>
      <c r="E1597" s="44"/>
      <c r="F1597" s="45"/>
      <c r="H1597" s="43"/>
      <c r="I1597" s="44"/>
      <c r="J1597" s="44"/>
      <c r="K1597" s="44"/>
      <c r="L1597" s="44"/>
      <c r="M1597" s="44"/>
      <c r="N1597" s="44"/>
      <c r="O1597" s="45"/>
      <c r="P1597" s="112"/>
      <c r="Q1597" s="113"/>
    </row>
    <row r="1598" spans="3:25" hidden="1" x14ac:dyDescent="0.3">
      <c r="C1598" s="48" t="s">
        <v>389</v>
      </c>
      <c r="D1598" s="49"/>
      <c r="E1598" s="49"/>
      <c r="F1598" s="50"/>
      <c r="H1598" s="48" t="s">
        <v>390</v>
      </c>
      <c r="I1598" s="49"/>
      <c r="J1598" s="49"/>
      <c r="K1598" s="49"/>
      <c r="L1598" s="49"/>
      <c r="M1598" s="49"/>
      <c r="N1598" s="49"/>
      <c r="O1598" s="50"/>
      <c r="P1598" s="111">
        <v>1</v>
      </c>
      <c r="Q1598" s="111"/>
      <c r="R1598" s="7"/>
      <c r="S1598" s="59"/>
      <c r="T1598" s="59"/>
      <c r="U1598" s="59"/>
      <c r="V1598" s="59"/>
      <c r="W1598" s="59"/>
      <c r="X1598" s="59"/>
      <c r="Y1598" s="60"/>
    </row>
    <row r="1599" spans="3:25" hidden="1" x14ac:dyDescent="0.3"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</row>
    <row r="1600" spans="3:25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spans="1:19" hidden="1" x14ac:dyDescent="0.3"/>
    <row r="1618" spans="1:19" hidden="1" x14ac:dyDescent="0.3"/>
    <row r="1619" spans="1:19" hidden="1" x14ac:dyDescent="0.3"/>
    <row r="1620" spans="1:19" hidden="1" x14ac:dyDescent="0.3"/>
    <row r="1621" spans="1:19" hidden="1" x14ac:dyDescent="0.3"/>
    <row r="1622" spans="1:19" hidden="1" x14ac:dyDescent="0.3"/>
    <row r="1623" spans="1:19" hidden="1" x14ac:dyDescent="0.3">
      <c r="A1623" s="61"/>
      <c r="B1623" s="61"/>
      <c r="C1623" s="61"/>
      <c r="D1623" s="61"/>
      <c r="E1623" s="61"/>
      <c r="F1623" s="115"/>
      <c r="G1623" s="115"/>
      <c r="H1623" s="115"/>
      <c r="I1623" s="115"/>
      <c r="J1623" s="61"/>
      <c r="K1623" s="61" t="s">
        <v>459</v>
      </c>
      <c r="L1623" s="61" t="s">
        <v>460</v>
      </c>
      <c r="M1623" s="61"/>
      <c r="N1623" s="61"/>
      <c r="O1623" s="61"/>
      <c r="P1623" s="61"/>
      <c r="Q1623" s="61"/>
      <c r="R1623" s="61"/>
      <c r="S1623" s="61"/>
    </row>
    <row r="1624" spans="1:19" ht="14.4" hidden="1" customHeight="1" x14ac:dyDescent="0.3">
      <c r="A1624" s="62"/>
      <c r="B1624" s="63">
        <v>1</v>
      </c>
      <c r="C1624" s="63"/>
      <c r="D1624" s="63" t="s">
        <v>31</v>
      </c>
      <c r="E1624" s="63"/>
      <c r="F1624" s="116" t="s">
        <v>30</v>
      </c>
      <c r="G1624" s="116"/>
      <c r="H1624" s="116"/>
      <c r="I1624" s="116"/>
      <c r="J1624" s="62"/>
      <c r="K1624" s="62"/>
      <c r="L1624" s="62"/>
      <c r="M1624" s="114"/>
      <c r="N1624" s="114"/>
      <c r="O1624" s="114"/>
      <c r="P1624" s="62"/>
      <c r="Q1624" s="114"/>
      <c r="R1624" s="114"/>
      <c r="S1624" s="114"/>
    </row>
    <row r="1625" spans="1:19" hidden="1" x14ac:dyDescent="0.3">
      <c r="A1625" s="6"/>
      <c r="B1625" s="6">
        <v>2</v>
      </c>
      <c r="C1625" s="6"/>
      <c r="D1625" s="6" t="s">
        <v>34</v>
      </c>
      <c r="E1625" s="6"/>
      <c r="F1625" s="91"/>
      <c r="G1625" s="91"/>
      <c r="H1625" s="91"/>
      <c r="I1625" s="91"/>
      <c r="J1625" s="6"/>
      <c r="K1625" s="6"/>
      <c r="L1625" s="6"/>
      <c r="M1625" s="6"/>
      <c r="N1625" s="6"/>
      <c r="O1625" s="6"/>
      <c r="P1625" s="6"/>
      <c r="Q1625" s="6"/>
      <c r="R1625" s="6"/>
      <c r="S1625" s="6"/>
    </row>
    <row r="1626" spans="1:19" hidden="1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</row>
    <row r="1627" spans="1:19" hidden="1" x14ac:dyDescent="0.3"/>
    <row r="1628" spans="1:19" hidden="1" x14ac:dyDescent="0.3"/>
    <row r="1629" spans="1:19" hidden="1" x14ac:dyDescent="0.3"/>
    <row r="1630" spans="1:19" hidden="1" x14ac:dyDescent="0.3"/>
    <row r="1631" spans="1:19" hidden="1" x14ac:dyDescent="0.3"/>
    <row r="1632" spans="1:19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2840" spans="54:54" x14ac:dyDescent="0.3">
      <c r="BB2840" s="5" t="s">
        <v>393</v>
      </c>
    </row>
    <row r="2841" spans="54:54" x14ac:dyDescent="0.3">
      <c r="BB2841" s="5" t="s">
        <v>394</v>
      </c>
    </row>
    <row r="2842" spans="54:54" x14ac:dyDescent="0.3">
      <c r="BB2842" s="5" t="s">
        <v>395</v>
      </c>
    </row>
    <row r="2843" spans="54:54" x14ac:dyDescent="0.3">
      <c r="BB2843" s="5" t="s">
        <v>396</v>
      </c>
    </row>
    <row r="2844" spans="54:54" x14ac:dyDescent="0.3">
      <c r="BB2844" s="5" t="s">
        <v>397</v>
      </c>
    </row>
    <row r="2846" spans="54:54" x14ac:dyDescent="0.3">
      <c r="BB2846" s="5" t="s">
        <v>398</v>
      </c>
    </row>
    <row r="2847" spans="54:54" x14ac:dyDescent="0.3">
      <c r="BB2847" s="5" t="s">
        <v>399</v>
      </c>
    </row>
    <row r="2849" spans="54:54" x14ac:dyDescent="0.3">
      <c r="BB2849" s="5" t="s">
        <v>400</v>
      </c>
    </row>
    <row r="2850" spans="54:54" x14ac:dyDescent="0.3">
      <c r="BB2850" s="5" t="s">
        <v>401</v>
      </c>
    </row>
    <row r="2851" spans="54:54" x14ac:dyDescent="0.3">
      <c r="BB2851" s="5" t="s">
        <v>398</v>
      </c>
    </row>
    <row r="2853" spans="54:54" x14ac:dyDescent="0.3">
      <c r="BB2853" s="5" t="s">
        <v>403</v>
      </c>
    </row>
    <row r="2854" spans="54:54" x14ac:dyDescent="0.3">
      <c r="BB2854" s="5" t="s">
        <v>404</v>
      </c>
    </row>
    <row r="2855" spans="54:54" x14ac:dyDescent="0.3">
      <c r="BB2855" s="5" t="s">
        <v>405</v>
      </c>
    </row>
    <row r="2856" spans="54:54" x14ac:dyDescent="0.3">
      <c r="BB2856" s="5" t="s">
        <v>406</v>
      </c>
    </row>
  </sheetData>
  <mergeCells count="161">
    <mergeCell ref="M1624:O1624"/>
    <mergeCell ref="Q1624:S1624"/>
    <mergeCell ref="F1623:I1623"/>
    <mergeCell ref="F1624:I1624"/>
    <mergeCell ref="P1598:Q1598"/>
    <mergeCell ref="P1426:Q1426"/>
    <mergeCell ref="P1427:Q1427"/>
    <mergeCell ref="P1428:Q1428"/>
    <mergeCell ref="P1429:Q1429"/>
    <mergeCell ref="P1435:Q1435"/>
    <mergeCell ref="P1434:Q1434"/>
    <mergeCell ref="P1468:Q1468"/>
    <mergeCell ref="P1502:Q1502"/>
    <mergeCell ref="P1591:Q1591"/>
    <mergeCell ref="P1593:Q1593"/>
    <mergeCell ref="P1594:Q1594"/>
    <mergeCell ref="P1595:Q1595"/>
    <mergeCell ref="P1597:Q1597"/>
    <mergeCell ref="P1585:Q1585"/>
    <mergeCell ref="P1586:Q1586"/>
    <mergeCell ref="P1588:Q1588"/>
    <mergeCell ref="P1589:Q1589"/>
    <mergeCell ref="P1590:Q1590"/>
    <mergeCell ref="P1579:Q1579"/>
    <mergeCell ref="P1580:Q1580"/>
    <mergeCell ref="P1581:Q1581"/>
    <mergeCell ref="P1583:Q1583"/>
    <mergeCell ref="P1584:Q1584"/>
    <mergeCell ref="P1573:Q1573"/>
    <mergeCell ref="P1574:Q1574"/>
    <mergeCell ref="P1575:Q1575"/>
    <mergeCell ref="P1576:Q1576"/>
    <mergeCell ref="P1578:Q1578"/>
    <mergeCell ref="P1567:Q1567"/>
    <mergeCell ref="P1568:Q1568"/>
    <mergeCell ref="P1569:Q1569"/>
    <mergeCell ref="P1570:Q1570"/>
    <mergeCell ref="P1571:Q1571"/>
    <mergeCell ref="P1561:Q1561"/>
    <mergeCell ref="P1562:Q1562"/>
    <mergeCell ref="P1563:Q1563"/>
    <mergeCell ref="P1564:Q1564"/>
    <mergeCell ref="P1566:Q1566"/>
    <mergeCell ref="P1554:Q1554"/>
    <mergeCell ref="P1555:Q1555"/>
    <mergeCell ref="P1556:Q1556"/>
    <mergeCell ref="P1557:Q1557"/>
    <mergeCell ref="P1560:Q1560"/>
    <mergeCell ref="P1548:Q1548"/>
    <mergeCell ref="P1549:Q1549"/>
    <mergeCell ref="P1550:Q1550"/>
    <mergeCell ref="P1552:Q1552"/>
    <mergeCell ref="P1553:Q1553"/>
    <mergeCell ref="P1542:Q1542"/>
    <mergeCell ref="P1543:Q1543"/>
    <mergeCell ref="P1545:Q1545"/>
    <mergeCell ref="P1546:Q1546"/>
    <mergeCell ref="P1547:Q1547"/>
    <mergeCell ref="P1536:Q1536"/>
    <mergeCell ref="P1538:Q1538"/>
    <mergeCell ref="P1539:Q1539"/>
    <mergeCell ref="P1540:Q1540"/>
    <mergeCell ref="P1541:Q1541"/>
    <mergeCell ref="P1530:Q1530"/>
    <mergeCell ref="P1531:Q1531"/>
    <mergeCell ref="P1533:Q1533"/>
    <mergeCell ref="P1534:Q1534"/>
    <mergeCell ref="P1535:Q1535"/>
    <mergeCell ref="P1524:Q1524"/>
    <mergeCell ref="P1525:Q1525"/>
    <mergeCell ref="P1526:Q1526"/>
    <mergeCell ref="P1527:Q1527"/>
    <mergeCell ref="P1528:Q1528"/>
    <mergeCell ref="P1518:Q1518"/>
    <mergeCell ref="P1519:Q1519"/>
    <mergeCell ref="P1520:Q1520"/>
    <mergeCell ref="P1521:Q1521"/>
    <mergeCell ref="P1522:Q1522"/>
    <mergeCell ref="P1512:Q1512"/>
    <mergeCell ref="P1513:Q1513"/>
    <mergeCell ref="P1514:Q1514"/>
    <mergeCell ref="P1516:Q1516"/>
    <mergeCell ref="P1517:Q1517"/>
    <mergeCell ref="P1506:Q1506"/>
    <mergeCell ref="P1507:Q1507"/>
    <mergeCell ref="P1508:Q1508"/>
    <mergeCell ref="P1510:Q1510"/>
    <mergeCell ref="P1511:Q1511"/>
    <mergeCell ref="P1500:Q1500"/>
    <mergeCell ref="P1501:Q1501"/>
    <mergeCell ref="P1503:Q1503"/>
    <mergeCell ref="P1504:Q1504"/>
    <mergeCell ref="P1495:Q1495"/>
    <mergeCell ref="P1496:Q1496"/>
    <mergeCell ref="P1497:Q1497"/>
    <mergeCell ref="P1498:Q1498"/>
    <mergeCell ref="P1486:Q1486"/>
    <mergeCell ref="P1488:Q1488"/>
    <mergeCell ref="P1489:Q1489"/>
    <mergeCell ref="P1490:Q1490"/>
    <mergeCell ref="P1491:Q1491"/>
    <mergeCell ref="P1483:Q1483"/>
    <mergeCell ref="P1484:Q1484"/>
    <mergeCell ref="P1485:Q1485"/>
    <mergeCell ref="P1475:Q1475"/>
    <mergeCell ref="P1476:Q1476"/>
    <mergeCell ref="P1477:Q1477"/>
    <mergeCell ref="P1478:Q1478"/>
    <mergeCell ref="P1480:Q1480"/>
    <mergeCell ref="P1494:Q1494"/>
    <mergeCell ref="P1470:Q1470"/>
    <mergeCell ref="P1472:Q1472"/>
    <mergeCell ref="P1473:Q1473"/>
    <mergeCell ref="P1463:Q1463"/>
    <mergeCell ref="P1464:Q1464"/>
    <mergeCell ref="P1465:Q1465"/>
    <mergeCell ref="P1466:Q1466"/>
    <mergeCell ref="P1481:Q1481"/>
    <mergeCell ref="P1482:Q1482"/>
    <mergeCell ref="P1461:Q1461"/>
    <mergeCell ref="P1462:Q1462"/>
    <mergeCell ref="P1453:Q1453"/>
    <mergeCell ref="P1454:Q1454"/>
    <mergeCell ref="P1455:Q1455"/>
    <mergeCell ref="P1456:Q1456"/>
    <mergeCell ref="P1458:Q1458"/>
    <mergeCell ref="P1467:Q1467"/>
    <mergeCell ref="P1469:Q1469"/>
    <mergeCell ref="P1450:Q1450"/>
    <mergeCell ref="P1451:Q1451"/>
    <mergeCell ref="P1441:Q1441"/>
    <mergeCell ref="P1442:Q1442"/>
    <mergeCell ref="P1443:Q1443"/>
    <mergeCell ref="P1445:Q1445"/>
    <mergeCell ref="P1446:Q1446"/>
    <mergeCell ref="P1459:Q1459"/>
    <mergeCell ref="P1460:Q1460"/>
    <mergeCell ref="F1625:I1625"/>
    <mergeCell ref="H1426:O1426"/>
    <mergeCell ref="H1427:O1427"/>
    <mergeCell ref="H1428:O1428"/>
    <mergeCell ref="P820:Q820"/>
    <mergeCell ref="A1223:C1223"/>
    <mergeCell ref="A1260:D1260"/>
    <mergeCell ref="A1268:C1268"/>
    <mergeCell ref="A1282:C1282"/>
    <mergeCell ref="P1436:Q1436"/>
    <mergeCell ref="P1437:Q1437"/>
    <mergeCell ref="P1438:Q1438"/>
    <mergeCell ref="P1440:Q1440"/>
    <mergeCell ref="P1420:Q1420"/>
    <mergeCell ref="P1421:Q1421"/>
    <mergeCell ref="P1422:Q1422"/>
    <mergeCell ref="P1423:Q1423"/>
    <mergeCell ref="P1424:Q1424"/>
    <mergeCell ref="P1430:Q1430"/>
    <mergeCell ref="P1432:Q1432"/>
    <mergeCell ref="P1433:Q1433"/>
    <mergeCell ref="P1447:Q1447"/>
    <mergeCell ref="P1448:Q1448"/>
    <mergeCell ref="P1449:Q1449"/>
  </mergeCells>
  <dataValidations count="11">
    <dataValidation type="list" allowBlank="1" showInputMessage="1" showErrorMessage="1" sqref="P1423:Q1424 P1489:Q1489 P1481:Q1486 P1476:Q1478 P1473:Q1473 P1466:Q1469 P1459:Q1459 P1454:Q1455 P1446:Q1450 P1441:Q1443 P1433:Q1434 P1435:P1438 Q1436:Q1438 P1429:Q1430 P1427:Q1427 P1420:Q1421 P1495:Q1496 P1501:Q1501 P1504:Q1504 P1508:Q1508 P1517:Q1522 P1525:Q1527 P1531:Q1531 P1534:Q1536 P1539:Q1543 P1546:Q1550 P1553:Q1557 P1570:Q1571 P1574:Q1576 P1579:Q1581 P1584:Q1586 P1589:Q1591 P1598:Q1598 P1594:Q1595" xr:uid="{F28C8A33-2806-4506-B36E-BC8688A822F8}">
      <formula1>$BB$1437:$BB$1438</formula1>
    </dataValidation>
    <dataValidation type="list" allowBlank="1" showInputMessage="1" showErrorMessage="1" sqref="P1422:Q1422" xr:uid="{4FD0C392-F7B5-46A6-B28F-8BC158188593}">
      <formula1>$BB$2840:$BB$2844</formula1>
    </dataValidation>
    <dataValidation type="list" allowBlank="1" showInputMessage="1" showErrorMessage="1" sqref="P1428:Q1428" xr:uid="{9AF5B838-D73F-4952-A4CC-F477810F9E43}">
      <formula1>$BB$2846:$BB$2847</formula1>
    </dataValidation>
    <dataValidation type="list" allowBlank="1" showInputMessage="1" showErrorMessage="1" sqref="P1460:Q1465" xr:uid="{4EEB06C3-2D6F-4337-A1A0-224C3DDB2AC7}">
      <formula1>$BB$2849:$BB$2851</formula1>
    </dataValidation>
    <dataValidation type="list" allowBlank="1" showInputMessage="1" showErrorMessage="1" sqref="P1490:Q1490" xr:uid="{56682C7C-830D-471A-B0BA-EABF3B566AEF}">
      <formula1>$BB$2853:$BB$2856</formula1>
    </dataValidation>
    <dataValidation type="list" allowBlank="1" showInputMessage="1" showErrorMessage="1" sqref="P1491:Q1491" xr:uid="{9F018ECE-BE57-4CC2-B708-2D0A4B7839BE}">
      <formula1>$BB$1441:$BB$1443</formula1>
    </dataValidation>
    <dataValidation type="list" allowBlank="1" showInputMessage="1" showErrorMessage="1" sqref="P1497:Q1498 P1502:Q1503 P1507:Q1507 P1528:Q1528 P1567:Q1569" xr:uid="{9B57EC35-E7DF-4583-AEA6-BBFF6A78493A}">
      <formula1>$BB$1445:$BB$1447</formula1>
    </dataValidation>
    <dataValidation type="list" allowBlank="1" showInputMessage="1" showErrorMessage="1" sqref="P1511:Q1514" xr:uid="{AD612CF2-9085-405D-8D51-E661CDC87101}">
      <formula1>$BB$1449:$BB$1452</formula1>
    </dataValidation>
    <dataValidation type="list" allowBlank="1" showInputMessage="1" showErrorMessage="1" sqref="P1561:Q1561" xr:uid="{10B30DDC-6A28-4F51-B0FE-DCCEF9285BD6}">
      <formula1>$BB$1454:$BB$1457</formula1>
    </dataValidation>
    <dataValidation type="list" allowBlank="1" showInputMessage="1" showErrorMessage="1" sqref="P1562:Q1562" xr:uid="{991EFF5A-2643-4C6C-93EC-E3488F418817}">
      <formula1>$BB$1459:$BB$1463</formula1>
    </dataValidation>
    <dataValidation type="list" allowBlank="1" showInputMessage="1" showErrorMessage="1" sqref="P1563:Q1563" xr:uid="{3D647618-D101-4B6D-BE56-E5ECB17FF54A}">
      <formula1>$BB$1465:$BB$1466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Scroll Bar 19">
              <controlPr defaultSize="0" autoPict="0">
                <anchor moveWithCells="1">
                  <from>
                    <xdr:col>9</xdr:col>
                    <xdr:colOff>152400</xdr:colOff>
                    <xdr:row>818</xdr:row>
                    <xdr:rowOff>30480</xdr:rowOff>
                  </from>
                  <to>
                    <xdr:col>9</xdr:col>
                    <xdr:colOff>419100</xdr:colOff>
                    <xdr:row>1213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Scroll Bar 20">
              <controlPr defaultSize="0" autoPict="0">
                <anchor moveWithCells="1">
                  <from>
                    <xdr:col>13</xdr:col>
                    <xdr:colOff>22860</xdr:colOff>
                    <xdr:row>818</xdr:row>
                    <xdr:rowOff>53340</xdr:rowOff>
                  </from>
                  <to>
                    <xdr:col>13</xdr:col>
                    <xdr:colOff>297180</xdr:colOff>
                    <xdr:row>1213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178B7-EDD2-4AB2-9F50-98521B19BE86}">
  <sheetPr codeName="Feuil4"/>
  <dimension ref="B17:AS19"/>
  <sheetViews>
    <sheetView tabSelected="1" zoomScale="76" workbookViewId="0">
      <selection activeCell="D21" sqref="D21"/>
    </sheetView>
  </sheetViews>
  <sheetFormatPr baseColWidth="10" defaultRowHeight="14.4" x14ac:dyDescent="0.3"/>
  <sheetData>
    <row r="17" spans="2:45" x14ac:dyDescent="0.3">
      <c r="B17" s="74" t="s">
        <v>448</v>
      </c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>
        <f>MAX(S17,U17,W17,Y17)</f>
        <v>0</v>
      </c>
      <c r="AB17" s="74"/>
      <c r="AC17" s="74"/>
      <c r="AD17" s="74"/>
      <c r="AE17" s="74"/>
      <c r="AF17" s="74">
        <f>AA17*AD17</f>
        <v>0</v>
      </c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</row>
    <row r="18" spans="2:45" x14ac:dyDescent="0.3">
      <c r="B18" s="74" t="s">
        <v>449</v>
      </c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>
        <f>MAX(S18,U18,W18,Y18)</f>
        <v>0</v>
      </c>
      <c r="AB18" s="74"/>
      <c r="AC18" s="74"/>
      <c r="AD18" s="74"/>
      <c r="AE18" s="74"/>
      <c r="AF18" s="74">
        <f>AA18*AD18</f>
        <v>0</v>
      </c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</row>
    <row r="19" spans="2:45" x14ac:dyDescent="0.3"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</row>
  </sheetData>
  <dataValidations count="2">
    <dataValidation type="list" allowBlank="1" showInputMessage="1" showErrorMessage="1" sqref="AD17 Y17 W17 U17 S17 S19 U19 W19 Y19 AD19 S18 U18 W18 Y18 AD18" xr:uid="{11C469FA-1EAA-46D9-8C65-85D19B76E80F}">
      <formula1>"1,2,3,4"</formula1>
    </dataValidation>
    <dataValidation type="list" allowBlank="1" showInputMessage="1" showErrorMessage="1" sqref="AL17 AL19 AL18" xr:uid="{C4C81D1C-3DEE-486B-8FCC-0EA5D0ACA333}">
      <formula1>"Faible,Moyenne,Forte"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AC05FF-E83E-4CE5-962C-D975486B72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Page de couverture</vt:lpstr>
      <vt:lpstr>Avant propos</vt:lpstr>
      <vt:lpstr>Cadre de la mission</vt:lpstr>
      <vt:lpstr>Termes et définitions</vt:lpstr>
      <vt:lpstr>Présentation Organisme</vt:lpstr>
      <vt:lpstr>Champ d'audit</vt:lpstr>
      <vt:lpstr>Méthodologie d'audit</vt:lpstr>
      <vt:lpstr>Synthése des resultats de l'aud</vt:lpstr>
      <vt:lpstr>Appréciation de risques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Emna Belkhiria</dc:creator>
  <cp:lastModifiedBy>Emna Belkhiria</cp:lastModifiedBy>
  <dcterms:created xsi:type="dcterms:W3CDTF">2015-06-05T18:17:20Z</dcterms:created>
  <dcterms:modified xsi:type="dcterms:W3CDTF">2025-08-30T10:41:25Z</dcterms:modified>
</cp:coreProperties>
</file>